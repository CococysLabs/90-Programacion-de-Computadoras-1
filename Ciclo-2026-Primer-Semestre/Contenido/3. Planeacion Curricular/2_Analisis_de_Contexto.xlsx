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_Lab_Actual" sheetId="3" r:id="rId6"/>
    <sheet state="visible" name="Contenido_Lab_Posterior" sheetId="4" r:id="rId7"/>
  </sheets>
  <definedNames/>
  <calcPr/>
  <extLst>
    <ext uri="GoogleSheetsCustomDataVersion2">
      <go:sheetsCustomData xmlns:go="http://customooxmlschemas.google.com/" r:id="rId8" roundtripDataChecksum="xgQAU4JZxfNFyL4/w0IhmbNskbeC1tQzIF2oDqtFbBQ="/>
    </ext>
  </extLst>
</workbook>
</file>

<file path=xl/sharedStrings.xml><?xml version="1.0" encoding="utf-8"?>
<sst xmlns="http://schemas.openxmlformats.org/spreadsheetml/2006/main" count="632" uniqueCount="188">
  <si>
    <t>Competencias actuales del laboratorio</t>
  </si>
  <si>
    <t>Nombre del Curso</t>
  </si>
  <si>
    <t>Programacion de Computadoras 1</t>
  </si>
  <si>
    <t>Código del Curso</t>
  </si>
  <si>
    <t>Semestre</t>
  </si>
  <si>
    <t>Área de Conocimiento</t>
  </si>
  <si>
    <t>Programación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</si>
  <si>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</si>
  <si>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</si>
  <si>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</si>
  <si>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</si>
  <si>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</si>
  <si>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</si>
  <si>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</si>
  <si>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</si>
  <si>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</si>
  <si>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</si>
  <si>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</si>
  <si>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</si>
  <si>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</si>
  <si>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Especifica</t>
  </si>
  <si>
    <t xml:space="preserve">Aplica conceptos fundamentales de programación mediante ejercicios prácticos y análisis de código, en entornos virtuales de laboratorio para desarrollar el pensamiento lógico y computacional </t>
  </si>
  <si>
    <t>Aplicar</t>
  </si>
  <si>
    <t>General</t>
  </si>
  <si>
    <t xml:space="preserve">Integra  herramientas de ofimática  como Word, Excel, PowerPoint y Access en la resolución de tareas y proyectos con base en situaciones académicas y laborales comunes </t>
  </si>
  <si>
    <t>Analizar</t>
  </si>
  <si>
    <t xml:space="preserve">Evalúa resultados obtenidos en procesos de programación y ofimática utilizando pruebas de funcionamiento, revisión crítica de errores y optimización de recursos bajo criterios de funcionalidad y eficiencia </t>
  </si>
  <si>
    <t>Evaluar</t>
  </si>
  <si>
    <t xml:space="preserve">Crea soluciones digitales utilizando entornos de programación visual y aplicaciones de ofimática con estrategias de automatización básica y diseño de bases de datos	para resolver problemas reales de forma efectiva </t>
  </si>
  <si>
    <t>Crear</t>
  </si>
  <si>
    <t xml:space="preserve">Diseña macros automatizadas en hojas de cálculo utilizando Visual Basic para Aplicaciones (VBA) mediante la implementación de funciones y ciclos condicionales con conexión a bases de datos para optimizar tareas repetitivas </t>
  </si>
  <si>
    <t xml:space="preserve">Formula consultas en bases de datos relacionales empleando herramientas de Access y modelos entidad-relación bajo criterios de integridad y relaciones correctas para organizar y extraer información relevante </t>
  </si>
  <si>
    <t>Programacion de Computadoras 2</t>
  </si>
  <si>
    <t>Semestre que aplica</t>
  </si>
  <si>
    <t>Primer Semestre 2026</t>
  </si>
  <si>
    <t>No</t>
  </si>
  <si>
    <t>Unidad</t>
  </si>
  <si>
    <t>Tema</t>
  </si>
  <si>
    <t>Subtema</t>
  </si>
  <si>
    <t xml:space="preserve">Introducir Temas fundamentales de programación mediante presentaciones y documentación para facilitar la comprensión inicial y contextualizacion del estudiante </t>
  </si>
  <si>
    <t>Introducción a Visual Basic .NET</t>
  </si>
  <si>
    <t>Características generales de Visual Basic .NET</t>
  </si>
  <si>
    <t xml:space="preserve">Desarolla Interfaces gráficas funcionales haciendo uso de controles básicos, como textbox, label, combobox capturar  mostrar los datos de forma eficiente </t>
  </si>
  <si>
    <t>Estructura básica de un proyecto</t>
  </si>
  <si>
    <t>Instalación Visual Basic .Net</t>
  </si>
  <si>
    <t>Concepto de eventos y controles</t>
  </si>
  <si>
    <t>Variables y tipos de datos</t>
  </si>
  <si>
    <t>Definición de variables</t>
  </si>
  <si>
    <t>Reglas de nombramiento</t>
  </si>
  <si>
    <t xml:space="preserve">Implementa Estructuras de Control  procedimientos en VB.NET mediante variables condicionales  ciclos para desarrollar soluciones informaticas que automaticen procesos de gestión de datos </t>
  </si>
  <si>
    <t>Tipos de variables</t>
  </si>
  <si>
    <t>Alcance de las variables</t>
  </si>
  <si>
    <t>Declaración y asignación de valores</t>
  </si>
  <si>
    <t>Controles Básicos : button, label, textbox, groupbox y otros.</t>
  </si>
  <si>
    <t>Sentencias condicionales</t>
  </si>
  <si>
    <t>Sentencia If</t>
  </si>
  <si>
    <t>If anidado</t>
  </si>
  <si>
    <t>Select Case</t>
  </si>
  <si>
    <t>Buenas prácticas en sentencias condicionales</t>
  </si>
  <si>
    <t xml:space="preserve">Mejorar la calidad de soluciones iniciales de programacion mediante el uso etico y responsable de herramientas tecnologicas basicas para fomentar buenas practicas en la gestion de recursos computacionales en proyectos de automatizacion </t>
  </si>
  <si>
    <t>Módulos y Formularios</t>
  </si>
  <si>
    <t>Modulos</t>
  </si>
  <si>
    <t>Formularios Múltiples</t>
  </si>
  <si>
    <t>Funciones numéricas</t>
  </si>
  <si>
    <t>Funciones de cadena de caracteres</t>
  </si>
  <si>
    <t>Funciones de fecha y hora</t>
  </si>
  <si>
    <t>Controles básicos (Parte 2)</t>
  </si>
  <si>
    <t>Repaso de tipos de funciones</t>
  </si>
  <si>
    <t>Repaso Condiciones y Select Case</t>
  </si>
  <si>
    <t>Otros controles comunes (TrackBar, ProgressBar)</t>
  </si>
  <si>
    <t>Procedimientos y funciones.</t>
  </si>
  <si>
    <t>Procedimientos y funciones</t>
  </si>
  <si>
    <t>Llamar a un procedimiento</t>
  </si>
  <si>
    <t>Retorno de Funciones y Parametros</t>
  </si>
  <si>
    <t>Parametros y Argumentos</t>
  </si>
  <si>
    <t>Tipos de procedimientos</t>
  </si>
  <si>
    <t xml:space="preserve">Implementa Ciclos y estructuras de datos como vectores  matrices aplicando bucles(For, While) y métodos de ordenamiento para automatizar tareas, consultas de datos en una aplicación interactiva en VB.Net </t>
  </si>
  <si>
    <t>Ciclos o Bucles</t>
  </si>
  <si>
    <t>For ..Next</t>
  </si>
  <si>
    <t>Ciclo por condicion</t>
  </si>
  <si>
    <t>Do ... Loop</t>
  </si>
  <si>
    <t>Vectores</t>
  </si>
  <si>
    <t>Implementación - Listbox</t>
  </si>
  <si>
    <t>Matrices Bucles</t>
  </si>
  <si>
    <t>While .. End While</t>
  </si>
  <si>
    <t>Matrices</t>
  </si>
  <si>
    <t>Implementación - DataGridView</t>
  </si>
  <si>
    <t>Introducción a SQL</t>
  </si>
  <si>
    <t>Repaso matrices y vectores</t>
  </si>
  <si>
    <t>Introducción a MySQL Workbench</t>
  </si>
  <si>
    <t>Instalación de MySQL Workbench</t>
  </si>
  <si>
    <t>Importancia de las DB sobre textos planos</t>
  </si>
  <si>
    <t>Conexion a MySQL - Visual Studio</t>
  </si>
  <si>
    <t xml:space="preserve">Constratar estructuras de datos basicos con los requerimientos de distintos tipos de problemas industriales para apoyar el analisis y la toma de decisiones a partir del almacenamiento y manipulacion de datos simples </t>
  </si>
  <si>
    <t>SQL - Scripts</t>
  </si>
  <si>
    <t>Creación de Script</t>
  </si>
  <si>
    <t>Entorno de MySQL Workbench</t>
  </si>
  <si>
    <t>Ordenamiento de Burbuja</t>
  </si>
  <si>
    <t>Ordenamiento Quick Sort</t>
  </si>
  <si>
    <t>Gestión CRUD (Create, Read, Update, Delete)</t>
  </si>
  <si>
    <t>Consultas de datos</t>
  </si>
  <si>
    <t xml:space="preserve">Integra Base de datos a proyectos en Visual Basic .NET Mediante el uso de ADO.NET   DataGridView para realizar operaciones CRUD con datos almacenados localmente </t>
  </si>
  <si>
    <t>Manejo de Bases de Datos</t>
  </si>
  <si>
    <t>Manejo de consultas</t>
  </si>
  <si>
    <t>Consultas aplicando (WHERE, JOIN, AVG, DESC)</t>
  </si>
  <si>
    <t>Reportes Visual Studio Datagridview</t>
  </si>
  <si>
    <t xml:space="preserve">Analiza funcionamiento y utilidad de máquinas virtuales elaborando entregables que integren conceptos sobre virtualización y gestión de información para las necesitdades concretas </t>
  </si>
  <si>
    <t>Inicio y Diagnóstico</t>
  </si>
  <si>
    <t>Introducción a las máquinas virtuales</t>
  </si>
  <si>
    <t>Instalación de VirtualBox</t>
  </si>
  <si>
    <t>Configuración de la VM</t>
  </si>
  <si>
    <t>Requisitos mínimos para la VM</t>
  </si>
  <si>
    <t xml:space="preserve">Aplica conceptos fundamentales de programación mediante ejercicios prácticos y análisis de código, en entornos virtuales de laboratorio para la toma de decisiones basada en información cuantitativa </t>
  </si>
  <si>
    <t>Uso del DTT en el entorno de desarrollo</t>
  </si>
  <si>
    <t>Práctica en pareja con VM</t>
  </si>
  <si>
    <t>Resolución de dudas en foros</t>
  </si>
  <si>
    <t xml:space="preserve">Integra herramientas de ofimática  como Word, Excel, PowerPoint y Access en la resolución de tareas y proyectos con base en situaciones académicas y laborales comunes </t>
  </si>
  <si>
    <t>Introducción al Paquete Microsoft Office</t>
  </si>
  <si>
    <t>Lectura General Microsoft Office</t>
  </si>
  <si>
    <t>Lectura General Microsoft Word</t>
  </si>
  <si>
    <t>Lectura General Microsoft Excel</t>
  </si>
  <si>
    <t>Lectura General Microsoft Power Point</t>
  </si>
  <si>
    <t>Lectura General Microsoft Access</t>
  </si>
  <si>
    <t>Lectura de la práctica única</t>
  </si>
  <si>
    <t>Preguntas y dudas</t>
  </si>
  <si>
    <t>Herramientas de Excel</t>
  </si>
  <si>
    <t>Manipulación de celdas</t>
  </si>
  <si>
    <t>Fórmulas</t>
  </si>
  <si>
    <t>Funciones</t>
  </si>
  <si>
    <t>Creación de gráficos</t>
  </si>
  <si>
    <t>Análisis de datos en Excel</t>
  </si>
  <si>
    <t>Uso de tablas dinámicas</t>
  </si>
  <si>
    <t>Ejemplos prácticos</t>
  </si>
  <si>
    <t>Integración de formularios y tablas en VBA</t>
  </si>
  <si>
    <t>Importar y Exportar Excel con macros</t>
  </si>
  <si>
    <t>Función de programador en Excel</t>
  </si>
  <si>
    <t>Formularios en Excel con VBA</t>
  </si>
  <si>
    <t>Creación de macros en Excel</t>
  </si>
  <si>
    <t>Automatización con macros</t>
  </si>
  <si>
    <t>Asignar macros a controles en Excel</t>
  </si>
  <si>
    <t>Ejemplos prácticos de formularios</t>
  </si>
  <si>
    <t>Diseño de Bases de Datos</t>
  </si>
  <si>
    <t>¿Qué es un diagrama ER?</t>
  </si>
  <si>
    <t>Propósito de los diagramas ER</t>
  </si>
  <si>
    <t>Entidades y atributos</t>
  </si>
  <si>
    <t>Relaciones entre entidades</t>
  </si>
  <si>
    <t>Cardinalidad de las relaciones</t>
  </si>
  <si>
    <t>Tipos de relaciones (uno a uno, uno a muchos, etc.)</t>
  </si>
  <si>
    <t>Ejemplo práctico de un diagrama ER</t>
  </si>
  <si>
    <t>Qué es una sentencia de SQL</t>
  </si>
  <si>
    <t>Cuáles categorías se divide las sentencias</t>
  </si>
  <si>
    <t>Lectura de SQL General</t>
  </si>
  <si>
    <t>Ejemplos de sentencias DDL</t>
  </si>
  <si>
    <t>Ejemplos de sentencias DML</t>
  </si>
  <si>
    <t>Estructuras de las sentencias</t>
  </si>
  <si>
    <t>Ejemplo práctico de una base de datos basado en el ER</t>
  </si>
  <si>
    <t>Implementación en Access</t>
  </si>
  <si>
    <t>Importancia de diagramas ER</t>
  </si>
  <si>
    <t>Creación de tablas</t>
  </si>
  <si>
    <t>Definición de campos y tipos de datos</t>
  </si>
  <si>
    <t>Relaciones entre tablas</t>
  </si>
  <si>
    <t>Definición de consultas en Access</t>
  </si>
  <si>
    <t>Formularios en Access</t>
  </si>
  <si>
    <t>Lectura del proyecto único</t>
  </si>
  <si>
    <t xml:space="preserve">Crea soluciones digitales utilizando entornos de programación visual y aplicaciones de ofimática con estrategias de automatización básica y diseño de bases de datos para resolver problemas reales de forma efectiva </t>
  </si>
  <si>
    <t>Introducción a programación en Visual Basic App</t>
  </si>
  <si>
    <t>¿Qué es Visual Basic Application?</t>
  </si>
  <si>
    <t>¿Para qué Visual Basic Application?</t>
  </si>
  <si>
    <t>Variables y tipos de variables</t>
  </si>
  <si>
    <t>Qué es la lógica booleana</t>
  </si>
  <si>
    <t>Condicionales y estructuras de control</t>
  </si>
  <si>
    <t>Definición de funciones, métodos y sus ámbitos</t>
  </si>
  <si>
    <t>Ejemplo práctico</t>
  </si>
  <si>
    <t>Integración de Access con Excel por VBA</t>
  </si>
  <si>
    <t>Comunicación aplicaciones de Microsoft</t>
  </si>
  <si>
    <t>Arq. Cliente Servidor</t>
  </si>
  <si>
    <t>Lectura conexión Excel y Access</t>
  </si>
  <si>
    <t>Gestión de librerías</t>
  </si>
  <si>
    <t>Ejemplo práctico de conexión</t>
  </si>
  <si>
    <t>Conferencia del Curso</t>
  </si>
  <si>
    <t>Cuestionario sobre conferencia</t>
  </si>
  <si>
    <t>Herramienta de Power BI</t>
  </si>
  <si>
    <t>¿Qué es Power BI?</t>
  </si>
  <si>
    <t>Conexión con orígenes de datos (Excel/Access)</t>
  </si>
  <si>
    <t>Visualizaciones básicas</t>
  </si>
  <si>
    <t>Creación de informes interactivos</t>
  </si>
  <si>
    <t>Conexión con Access</t>
  </si>
  <si>
    <t>Creación de reportes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</si>
</sst>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vertical="bottom"/>
    </xf>
    <xf borderId="4" fillId="2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shrinkToFit="0" wrapText="1"/>
    </xf>
    <xf borderId="4" fillId="0" fontId="1" numFmtId="0" xfId="0" applyBorder="1" applyFont="1"/>
    <xf borderId="4" fillId="2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1" fillId="0" fontId="1" numFmtId="0" xfId="0" applyAlignment="1" applyBorder="1" applyFont="1">
      <alignment shrinkToFit="0" vertical="bottom" wrapText="1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1" fillId="0" fontId="1" numFmtId="0" xfId="0" applyBorder="1" applyFont="1"/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6.5"/>
    <col customWidth="1" min="8" max="8" width="26.5"/>
    <col customWidth="1" min="12" max="12" width="26.5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>VALUE(LEFT(F4,FIND(" - ",F4)-1))</f>
        <v>#VALUE!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>
        <v>90.0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4</v>
      </c>
      <c r="E5" s="6"/>
      <c r="F5" s="10">
        <v>2.0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5</v>
      </c>
      <c r="E6" s="6"/>
      <c r="F6" s="10" t="s">
        <v>6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7</v>
      </c>
      <c r="E7" s="6"/>
      <c r="F7" s="10">
        <v>3.0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8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10</v>
      </c>
      <c r="E13" s="3"/>
      <c r="F13" s="14" t="s">
        <v>11</v>
      </c>
      <c r="I13" s="3"/>
      <c r="J13" s="15" t="s">
        <v>12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13</v>
      </c>
      <c r="C14" s="16" t="s">
        <v>14</v>
      </c>
      <c r="D14" s="16" t="s">
        <v>15</v>
      </c>
      <c r="E14" s="3"/>
      <c r="F14" s="17" t="s">
        <v>13</v>
      </c>
      <c r="G14" s="16" t="s">
        <v>14</v>
      </c>
      <c r="H14" s="16" t="s">
        <v>15</v>
      </c>
      <c r="I14" s="3"/>
      <c r="J14" s="18" t="s">
        <v>13</v>
      </c>
      <c r="K14" s="19" t="s">
        <v>14</v>
      </c>
      <c r="L14" s="19" t="s">
        <v>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20">
        <v>1.0</v>
      </c>
      <c r="C15" s="21">
        <v>732.0</v>
      </c>
      <c r="D15" s="21" t="str">
        <f>IFERROR(__xludf.DUMMYFUNCTION("IF(C15="""","""",VLOOKUP(C15,IMPORTRANGE(""1j2lHEvOoZ_EPY086Qt7f7AFaZGVfiYKJxXlsnNfWCA0"", ""Listado Cursos!A:B""),2,FALSE))"),"Estadística 1")</f>
        <v>Estadística 1</v>
      </c>
      <c r="E15" s="3"/>
      <c r="F15" s="20">
        <v>1.0</v>
      </c>
      <c r="G15" s="22">
        <v>19.0</v>
      </c>
      <c r="H15" s="23" t="str">
        <f>IFERROR(__xludf.DUMMYFUNCTION("IF(G15="""","""",VLOOKUP(G15,IMPORTRANGE(""1j2lHEvOoZ_EPY086Qt7f7AFaZGVfiYKJxXlsnNfWCA0"", ""Listado Cursos!A:B""),2,FALSE))"),"Área Social Humanística 2")</f>
        <v>Área Social Humanística 2</v>
      </c>
      <c r="I15" s="3"/>
      <c r="J15" s="24">
        <v>1.0</v>
      </c>
      <c r="K15" s="25">
        <v>92.0</v>
      </c>
      <c r="L15" s="26" t="str">
        <f>IFERROR(__xludf.DUMMYFUNCTION("IF(K15="""","""",VLOOKUP(K15,IMPORTRANGE(""1j2lHEvOoZ_EPY086Qt7f7AFaZGVfiYKJxXlsnNfWCA0"", ""Listado Cursos!A:B""),2,FALSE))"),"Programacion de Computadoras 2")</f>
        <v>Programacion de Computadoras 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20">
        <v>2.0</v>
      </c>
      <c r="C16" s="21">
        <v>92.0</v>
      </c>
      <c r="D16" s="21" t="str">
        <f>IFERROR(__xludf.DUMMYFUNCTION("IF(C16="""","""",VLOOKUP(C16,IMPORTRANGE(""1j2lHEvOoZ_EPY086Qt7f7AFaZGVfiYKJxXlsnNfWCA0"", ""Listado Cursos!A:B""),2,FALSE))"),"Programacion de Computadoras 2")</f>
        <v>Programacion de Computadoras 2</v>
      </c>
      <c r="E16" s="3"/>
      <c r="F16" s="20">
        <v>2.0</v>
      </c>
      <c r="G16" s="27">
        <v>103.0</v>
      </c>
      <c r="H16" s="23" t="str">
        <f>IFERROR(__xludf.DUMMYFUNCTION("IF(G16="""","""",VLOOKUP(G16,IMPORTRANGE(""1j2lHEvOoZ_EPY086Qt7f7AFaZGVfiYKJxXlsnNfWCA0"", ""Listado Cursos!A:B""),2,FALSE))"),"Área Matemática Básica 2")</f>
        <v>Área Matemática Básica 2</v>
      </c>
      <c r="I16" s="3"/>
      <c r="J16" s="24">
        <v>2.0</v>
      </c>
      <c r="K16" s="26"/>
      <c r="L16" s="2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20">
        <v>3.0</v>
      </c>
      <c r="C17" s="21"/>
      <c r="D17" s="21"/>
      <c r="E17" s="3"/>
      <c r="F17" s="20">
        <v>3.0</v>
      </c>
      <c r="G17" s="27">
        <v>960.0</v>
      </c>
      <c r="H17" s="23" t="str">
        <f>IFERROR(__xludf.DUMMYFUNCTION("IF(G17="""","""",VLOOKUP(G17,IMPORTRANGE(""1j2lHEvOoZ_EPY086Qt7f7AFaZGVfiYKJxXlsnNfWCA0"", ""Listado Cursos!A:B""),2,FALSE))"),"Matemática Para Computación 1")</f>
        <v>Matemática Para Computación 1</v>
      </c>
      <c r="I17" s="3"/>
      <c r="J17" s="24">
        <v>3.0</v>
      </c>
      <c r="K17" s="26"/>
      <c r="L17" s="2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20">
        <v>4.0</v>
      </c>
      <c r="C18" s="21"/>
      <c r="D18" s="21" t="str">
        <f>IFERROR(__xludf.DUMMYFUNCTION("IF(C18="""","""",VLOOKUP(C18,IMPORTRANGE(""1j2lHEvOoZ_EPY086Qt7f7AFaZGVfiYKJxXlsnNfWCA0"", ""Listado Cursos!A:B""),2,FALSE))"),"")</f>
        <v/>
      </c>
      <c r="E18" s="3"/>
      <c r="F18" s="20">
        <v>4.0</v>
      </c>
      <c r="G18" s="27">
        <v>147.0</v>
      </c>
      <c r="H18" s="23" t="str">
        <f>IFERROR(__xludf.DUMMYFUNCTION("IF(G18="""","""",VLOOKUP(G18,IMPORTRANGE(""1j2lHEvOoZ_EPY086Qt7f7AFaZGVfiYKJxXlsnNfWCA0"", ""Listado Cursos!A:B""),2,FALSE))"),"Física Básica")</f>
        <v>Física Básica</v>
      </c>
      <c r="I18" s="3"/>
      <c r="J18" s="24">
        <v>4.0</v>
      </c>
      <c r="K18" s="26"/>
      <c r="L18" s="2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20">
        <v>5.0</v>
      </c>
      <c r="C19" s="21"/>
      <c r="D19" s="21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7">
        <v>40.0</v>
      </c>
      <c r="H19" s="23" t="str">
        <f>IFERROR(__xludf.DUMMYFUNCTION("IF(G19="""","""",VLOOKUP(G19,IMPORTRANGE(""1j2lHEvOoZ_EPY086Qt7f7AFaZGVfiYKJxXlsnNfWCA0"", ""Listado Cursos!A:B""),2,FALSE))"),"Deportes 2")</f>
        <v>Deportes 2</v>
      </c>
      <c r="I19" s="3"/>
      <c r="J19" s="24">
        <v>5.0</v>
      </c>
      <c r="K19" s="26"/>
      <c r="L19" s="2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20">
        <v>6.0</v>
      </c>
      <c r="C20" s="21"/>
      <c r="D20" s="21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7">
        <v>8.0</v>
      </c>
      <c r="H20" s="23" t="str">
        <f>IFERROR(__xludf.DUMMYFUNCTION("IF(G20="""","""",VLOOKUP(G20,IMPORTRANGE(""1j2lHEvOoZ_EPY086Qt7f7AFaZGVfiYKJxXlsnNfWCA0"", ""Listado Cursos!A:B""),2,FALSE))"),"Idioma Técnico 2")</f>
        <v>Idioma Técnico 2</v>
      </c>
      <c r="I20" s="3"/>
      <c r="J20" s="24">
        <v>6.0</v>
      </c>
      <c r="K20" s="26"/>
      <c r="L20" s="2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0">
        <v>7.0</v>
      </c>
      <c r="C21" s="21"/>
      <c r="D21" s="21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27">
        <v>90.0</v>
      </c>
      <c r="H21" s="23" t="str">
        <f>IFERROR(__xludf.DUMMYFUNCTION("IF(G21="""","""",VLOOKUP(G21,IMPORTRANGE(""1j2lHEvOoZ_EPY086Qt7f7AFaZGVfiYKJxXlsnNfWCA0"", ""Listado Cursos!A:B""),2,FALSE))"),"Programacion de Computadoras 1")</f>
        <v>Programacion de Computadoras 1</v>
      </c>
      <c r="I21" s="3"/>
      <c r="J21" s="24">
        <v>7.0</v>
      </c>
      <c r="K21" s="26"/>
      <c r="L21" s="2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8.0</v>
      </c>
      <c r="C22" s="21"/>
      <c r="D22" s="21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27">
        <v>667.0</v>
      </c>
      <c r="H22" s="23" t="str">
        <f>IFERROR(__xludf.DUMMYFUNCTION("IF(G22="""","""",VLOOKUP(G22,IMPORTRANGE(""1j2lHEvOoZ_EPY086Qt7f7AFaZGVfiYKJxXlsnNfWCA0"", ""Listado Cursos!A:B""),2,FALSE))"),"Programacion Comercial 1")</f>
        <v>Programacion Comercial 1</v>
      </c>
      <c r="I22" s="3"/>
      <c r="J22" s="24">
        <v>8.0</v>
      </c>
      <c r="K22" s="26"/>
      <c r="L22" s="2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21"/>
      <c r="D23" s="21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28">
        <v>768.0</v>
      </c>
      <c r="H23" s="23" t="str">
        <f>IFERROR(__xludf.DUMMYFUNCTION("IF(G23="""","""",VLOOKUP(G23,IMPORTRANGE(""1j2lHEvOoZ_EPY086Qt7f7AFaZGVfiYKJxXlsnNfWCA0"", ""Listado Cursos!A:B""),2,FALSE))"),"Algoritmos")</f>
        <v>Algoritmos</v>
      </c>
      <c r="I23" s="3"/>
      <c r="J23" s="24">
        <v>9.0</v>
      </c>
      <c r="K23" s="26"/>
      <c r="L23" s="2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21"/>
      <c r="D24" s="21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21"/>
      <c r="H24" s="21"/>
      <c r="I24" s="3"/>
      <c r="J24" s="24">
        <v>10.0</v>
      </c>
      <c r="K24" s="26"/>
      <c r="L24" s="2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21"/>
      <c r="D25" s="21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21"/>
      <c r="H25" s="21"/>
      <c r="I25" s="3"/>
      <c r="J25" s="24">
        <v>11.0</v>
      </c>
      <c r="K25" s="26"/>
      <c r="L25" s="2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23"/>
      <c r="D26" s="21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21"/>
      <c r="H26" s="21"/>
      <c r="I26" s="3"/>
      <c r="J26" s="24">
        <v>12.0</v>
      </c>
      <c r="K26" s="26"/>
      <c r="L26" s="2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23"/>
      <c r="D27" s="21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21"/>
      <c r="H27" s="21"/>
      <c r="I27" s="3"/>
      <c r="J27" s="24">
        <v>13.0</v>
      </c>
      <c r="K27" s="26"/>
      <c r="L27" s="2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23"/>
      <c r="D28" s="21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21"/>
      <c r="H28" s="21"/>
      <c r="I28" s="3"/>
      <c r="J28" s="24">
        <v>14.0</v>
      </c>
      <c r="K28" s="26"/>
      <c r="L28" s="2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16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29" t="s">
        <v>13</v>
      </c>
      <c r="C33" s="30" t="s">
        <v>17</v>
      </c>
      <c r="D33" s="31" t="s">
        <v>18</v>
      </c>
      <c r="E33" s="8"/>
      <c r="F33" s="8"/>
      <c r="G33" s="8"/>
      <c r="H33" s="8"/>
      <c r="I33" s="8"/>
      <c r="J33" s="8"/>
      <c r="K33" s="6"/>
      <c r="L33" s="29" t="s">
        <v>19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1">
        <v>1.0</v>
      </c>
      <c r="C34" s="21" t="s">
        <v>20</v>
      </c>
      <c r="D34" s="32" t="s">
        <v>21</v>
      </c>
      <c r="E34" s="8"/>
      <c r="F34" s="8"/>
      <c r="G34" s="8"/>
      <c r="H34" s="8"/>
      <c r="I34" s="8"/>
      <c r="J34" s="8"/>
      <c r="K34" s="6"/>
      <c r="L34" s="21" t="s">
        <v>22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1">
        <v>2.0</v>
      </c>
      <c r="C35" s="21" t="s">
        <v>23</v>
      </c>
      <c r="D35" s="32" t="s">
        <v>24</v>
      </c>
      <c r="E35" s="8"/>
      <c r="F35" s="8"/>
      <c r="G35" s="8"/>
      <c r="H35" s="8"/>
      <c r="I35" s="8"/>
      <c r="J35" s="8"/>
      <c r="K35" s="6"/>
      <c r="L35" s="21" t="s">
        <v>25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1">
        <v>3.0</v>
      </c>
      <c r="C36" s="21" t="s">
        <v>23</v>
      </c>
      <c r="D36" s="32" t="s">
        <v>26</v>
      </c>
      <c r="E36" s="8"/>
      <c r="F36" s="8"/>
      <c r="G36" s="8"/>
      <c r="H36" s="8"/>
      <c r="I36" s="8"/>
      <c r="J36" s="8"/>
      <c r="K36" s="6"/>
      <c r="L36" s="21" t="s">
        <v>27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1">
        <v>4.0</v>
      </c>
      <c r="C37" s="21" t="s">
        <v>23</v>
      </c>
      <c r="D37" s="32" t="s">
        <v>28</v>
      </c>
      <c r="E37" s="8"/>
      <c r="F37" s="8"/>
      <c r="G37" s="8"/>
      <c r="H37" s="8"/>
      <c r="I37" s="8"/>
      <c r="J37" s="8"/>
      <c r="K37" s="6"/>
      <c r="L37" s="21" t="s">
        <v>29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1">
        <v>5.0</v>
      </c>
      <c r="C38" s="21" t="s">
        <v>20</v>
      </c>
      <c r="D38" s="32" t="s">
        <v>30</v>
      </c>
      <c r="E38" s="8"/>
      <c r="F38" s="8"/>
      <c r="G38" s="8"/>
      <c r="H38" s="8"/>
      <c r="I38" s="8"/>
      <c r="J38" s="8"/>
      <c r="K38" s="6"/>
      <c r="L38" s="21" t="s">
        <v>29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1">
        <v>6.0</v>
      </c>
      <c r="C39" s="21" t="s">
        <v>20</v>
      </c>
      <c r="D39" s="32" t="s">
        <v>31</v>
      </c>
      <c r="E39" s="8"/>
      <c r="F39" s="8"/>
      <c r="G39" s="8"/>
      <c r="H39" s="8"/>
      <c r="I39" s="8"/>
      <c r="J39" s="8"/>
      <c r="K39" s="6"/>
      <c r="L39" s="21" t="s">
        <v>22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5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42.88"/>
    <col customWidth="1" min="4" max="4" width="25.88"/>
    <col customWidth="1" min="5" max="5" width="25.63"/>
    <col customWidth="1" min="6" max="6" width="30.5"/>
  </cols>
  <sheetData>
    <row r="2">
      <c r="B2" s="33" t="s">
        <v>1</v>
      </c>
      <c r="C2" s="34" t="s">
        <v>32</v>
      </c>
      <c r="D2" s="8"/>
      <c r="E2" s="8"/>
      <c r="F2" s="6"/>
    </row>
    <row r="3">
      <c r="B3" s="33" t="s">
        <v>33</v>
      </c>
      <c r="C3" s="35" t="s">
        <v>34</v>
      </c>
      <c r="D3" s="8"/>
      <c r="E3" s="8"/>
      <c r="F3" s="6"/>
    </row>
    <row r="4">
      <c r="B4" s="36"/>
    </row>
    <row r="5">
      <c r="B5" s="37" t="s">
        <v>35</v>
      </c>
      <c r="C5" s="37" t="s">
        <v>18</v>
      </c>
      <c r="D5" s="37" t="s">
        <v>36</v>
      </c>
      <c r="E5" s="37" t="s">
        <v>37</v>
      </c>
      <c r="F5" s="37" t="s">
        <v>38</v>
      </c>
    </row>
    <row r="6">
      <c r="B6" s="38">
        <v>1.0</v>
      </c>
      <c r="C6" s="38" t="s">
        <v>39</v>
      </c>
      <c r="D6" s="38">
        <v>1.0</v>
      </c>
      <c r="E6" s="38" t="s">
        <v>40</v>
      </c>
      <c r="F6" s="38" t="s">
        <v>41</v>
      </c>
    </row>
    <row r="7">
      <c r="B7" s="38">
        <v>2.0</v>
      </c>
      <c r="C7" s="38" t="s">
        <v>42</v>
      </c>
      <c r="D7" s="38"/>
      <c r="E7" s="38" t="s">
        <v>40</v>
      </c>
      <c r="F7" s="38" t="s">
        <v>43</v>
      </c>
    </row>
    <row r="8">
      <c r="B8" s="38">
        <v>3.0</v>
      </c>
      <c r="C8" s="38" t="s">
        <v>39</v>
      </c>
      <c r="D8" s="38"/>
      <c r="E8" s="38" t="s">
        <v>40</v>
      </c>
      <c r="F8" s="38" t="s">
        <v>44</v>
      </c>
    </row>
    <row r="9">
      <c r="B9" s="38">
        <v>4.0</v>
      </c>
      <c r="C9" s="38" t="s">
        <v>39</v>
      </c>
      <c r="D9" s="38"/>
      <c r="E9" s="38" t="s">
        <v>40</v>
      </c>
      <c r="F9" s="38" t="s">
        <v>45</v>
      </c>
    </row>
    <row r="10">
      <c r="B10" s="38">
        <v>5.0</v>
      </c>
      <c r="C10" s="38"/>
      <c r="D10" s="38"/>
      <c r="E10" s="38" t="s">
        <v>40</v>
      </c>
      <c r="F10" s="38"/>
    </row>
    <row r="11">
      <c r="B11" s="38">
        <v>6.0</v>
      </c>
      <c r="C11" s="38"/>
      <c r="D11" s="38"/>
      <c r="E11" s="38" t="s">
        <v>40</v>
      </c>
      <c r="F11" s="38"/>
    </row>
    <row r="12">
      <c r="B12" s="38">
        <v>7.0</v>
      </c>
      <c r="C12" s="38"/>
      <c r="D12" s="38"/>
      <c r="E12" s="38" t="s">
        <v>40</v>
      </c>
      <c r="F12" s="38"/>
    </row>
    <row r="13">
      <c r="B13" s="38">
        <v>8.0</v>
      </c>
      <c r="C13" s="38" t="s">
        <v>39</v>
      </c>
      <c r="D13" s="38">
        <v>1.0</v>
      </c>
      <c r="E13" s="38" t="s">
        <v>46</v>
      </c>
      <c r="F13" s="38" t="s">
        <v>47</v>
      </c>
    </row>
    <row r="14">
      <c r="B14" s="38">
        <v>9.0</v>
      </c>
      <c r="C14" s="38" t="s">
        <v>39</v>
      </c>
      <c r="D14" s="38"/>
      <c r="E14" s="38" t="s">
        <v>46</v>
      </c>
      <c r="F14" s="38" t="s">
        <v>48</v>
      </c>
    </row>
    <row r="15">
      <c r="B15" s="38">
        <v>10.0</v>
      </c>
      <c r="C15" s="38" t="s">
        <v>49</v>
      </c>
      <c r="D15" s="38"/>
      <c r="E15" s="38" t="s">
        <v>46</v>
      </c>
      <c r="F15" s="38" t="s">
        <v>50</v>
      </c>
    </row>
    <row r="16">
      <c r="B16" s="38">
        <v>11.0</v>
      </c>
      <c r="C16" s="38" t="s">
        <v>49</v>
      </c>
      <c r="D16" s="38"/>
      <c r="E16" s="38" t="s">
        <v>46</v>
      </c>
      <c r="F16" s="38" t="s">
        <v>51</v>
      </c>
    </row>
    <row r="17">
      <c r="B17" s="38">
        <v>12.0</v>
      </c>
      <c r="C17" s="38" t="s">
        <v>49</v>
      </c>
      <c r="D17" s="38"/>
      <c r="E17" s="38" t="s">
        <v>46</v>
      </c>
      <c r="F17" s="38" t="s">
        <v>52</v>
      </c>
    </row>
    <row r="18">
      <c r="B18" s="38">
        <v>13.0</v>
      </c>
      <c r="C18" s="38" t="s">
        <v>42</v>
      </c>
      <c r="D18" s="38"/>
      <c r="E18" s="38" t="s">
        <v>46</v>
      </c>
      <c r="F18" s="38" t="s">
        <v>53</v>
      </c>
    </row>
    <row r="19">
      <c r="B19" s="38">
        <v>14.0</v>
      </c>
      <c r="C19" s="38"/>
      <c r="D19" s="38"/>
      <c r="E19" s="38" t="s">
        <v>46</v>
      </c>
      <c r="F19" s="38"/>
    </row>
    <row r="20">
      <c r="B20" s="38">
        <v>15.0</v>
      </c>
      <c r="C20" s="38" t="s">
        <v>49</v>
      </c>
      <c r="D20" s="38">
        <v>1.0</v>
      </c>
      <c r="E20" s="38" t="s">
        <v>54</v>
      </c>
      <c r="F20" s="38" t="s">
        <v>55</v>
      </c>
    </row>
    <row r="21">
      <c r="B21" s="38">
        <v>16.0</v>
      </c>
      <c r="C21" s="38" t="s">
        <v>49</v>
      </c>
      <c r="D21" s="38"/>
      <c r="E21" s="38" t="s">
        <v>54</v>
      </c>
      <c r="F21" s="38" t="s">
        <v>56</v>
      </c>
    </row>
    <row r="22">
      <c r="B22" s="38">
        <v>17.0</v>
      </c>
      <c r="C22" s="38" t="s">
        <v>49</v>
      </c>
      <c r="D22" s="38"/>
      <c r="E22" s="38" t="s">
        <v>54</v>
      </c>
      <c r="F22" s="38" t="s">
        <v>57</v>
      </c>
    </row>
    <row r="23">
      <c r="B23" s="38">
        <v>18.0</v>
      </c>
      <c r="C23" s="38" t="s">
        <v>49</v>
      </c>
      <c r="D23" s="38"/>
      <c r="E23" s="38" t="s">
        <v>54</v>
      </c>
      <c r="F23" s="38" t="s">
        <v>58</v>
      </c>
    </row>
    <row r="24">
      <c r="B24" s="38">
        <v>19.0</v>
      </c>
      <c r="C24" s="38"/>
      <c r="D24" s="38"/>
      <c r="E24" s="38" t="s">
        <v>54</v>
      </c>
      <c r="F24" s="38"/>
    </row>
    <row r="25">
      <c r="B25" s="38">
        <v>20.0</v>
      </c>
      <c r="C25" s="38"/>
      <c r="D25" s="38"/>
      <c r="E25" s="38" t="s">
        <v>54</v>
      </c>
      <c r="F25" s="38"/>
    </row>
    <row r="26">
      <c r="B26" s="38">
        <v>21.0</v>
      </c>
      <c r="C26" s="38"/>
      <c r="D26" s="38"/>
      <c r="E26" s="38" t="s">
        <v>54</v>
      </c>
      <c r="F26" s="38"/>
    </row>
    <row r="27">
      <c r="B27" s="38">
        <v>22.0</v>
      </c>
      <c r="C27" s="38" t="s">
        <v>59</v>
      </c>
      <c r="D27" s="38">
        <v>1.0</v>
      </c>
      <c r="E27" s="38" t="s">
        <v>60</v>
      </c>
      <c r="F27" s="38" t="s">
        <v>61</v>
      </c>
    </row>
    <row r="28">
      <c r="B28" s="38">
        <v>23.0</v>
      </c>
      <c r="C28" s="38" t="s">
        <v>42</v>
      </c>
      <c r="D28" s="38"/>
      <c r="E28" s="38" t="s">
        <v>60</v>
      </c>
      <c r="F28" s="38" t="s">
        <v>62</v>
      </c>
    </row>
    <row r="29">
      <c r="B29" s="38">
        <v>24.0</v>
      </c>
      <c r="C29" s="38" t="s">
        <v>49</v>
      </c>
      <c r="D29" s="38"/>
      <c r="E29" s="38" t="s">
        <v>60</v>
      </c>
      <c r="F29" s="38" t="s">
        <v>63</v>
      </c>
    </row>
    <row r="30">
      <c r="B30" s="38">
        <v>25.0</v>
      </c>
      <c r="C30" s="38" t="s">
        <v>49</v>
      </c>
      <c r="D30" s="38"/>
      <c r="E30" s="38" t="s">
        <v>60</v>
      </c>
      <c r="F30" s="38" t="s">
        <v>64</v>
      </c>
    </row>
    <row r="31">
      <c r="B31" s="38">
        <v>26.0</v>
      </c>
      <c r="C31" s="38" t="s">
        <v>49</v>
      </c>
      <c r="D31" s="38"/>
      <c r="E31" s="38" t="s">
        <v>60</v>
      </c>
      <c r="F31" s="38" t="s">
        <v>65</v>
      </c>
    </row>
    <row r="32">
      <c r="B32" s="38">
        <v>27.0</v>
      </c>
      <c r="C32" s="38"/>
      <c r="D32" s="38"/>
      <c r="E32" s="38" t="s">
        <v>60</v>
      </c>
      <c r="F32" s="38"/>
    </row>
    <row r="33">
      <c r="B33" s="38">
        <v>28.0</v>
      </c>
      <c r="C33" s="38"/>
      <c r="D33" s="38"/>
      <c r="E33" s="38" t="s">
        <v>60</v>
      </c>
      <c r="F33" s="38"/>
    </row>
    <row r="34">
      <c r="B34" s="38">
        <v>29.0</v>
      </c>
      <c r="C34" s="38" t="s">
        <v>49</v>
      </c>
      <c r="D34" s="38">
        <v>2.0</v>
      </c>
      <c r="E34" s="38" t="s">
        <v>66</v>
      </c>
      <c r="F34" s="38" t="s">
        <v>67</v>
      </c>
    </row>
    <row r="35">
      <c r="B35" s="38">
        <v>30.0</v>
      </c>
      <c r="C35" s="38" t="s">
        <v>49</v>
      </c>
      <c r="D35" s="38"/>
      <c r="E35" s="38" t="s">
        <v>66</v>
      </c>
      <c r="F35" s="38" t="s">
        <v>68</v>
      </c>
    </row>
    <row r="36">
      <c r="B36" s="38">
        <v>31.0</v>
      </c>
      <c r="C36" s="38" t="s">
        <v>42</v>
      </c>
      <c r="D36" s="38"/>
      <c r="E36" s="38" t="s">
        <v>66</v>
      </c>
      <c r="F36" s="38" t="s">
        <v>69</v>
      </c>
    </row>
    <row r="37">
      <c r="B37" s="38">
        <v>32.0</v>
      </c>
      <c r="C37" s="38"/>
      <c r="D37" s="38"/>
      <c r="E37" s="38" t="s">
        <v>66</v>
      </c>
      <c r="F37" s="38"/>
    </row>
    <row r="38">
      <c r="B38" s="38">
        <v>33.0</v>
      </c>
      <c r="C38" s="38"/>
      <c r="D38" s="38"/>
      <c r="E38" s="38" t="s">
        <v>66</v>
      </c>
      <c r="F38" s="38"/>
    </row>
    <row r="39">
      <c r="B39" s="38">
        <v>34.0</v>
      </c>
      <c r="C39" s="38"/>
      <c r="D39" s="38"/>
      <c r="E39" s="38" t="s">
        <v>66</v>
      </c>
      <c r="F39" s="38"/>
    </row>
    <row r="40">
      <c r="B40" s="38">
        <v>35.0</v>
      </c>
      <c r="C40" s="38"/>
      <c r="D40" s="38"/>
      <c r="E40" s="38" t="s">
        <v>66</v>
      </c>
      <c r="F40" s="38"/>
    </row>
    <row r="41">
      <c r="B41" s="38">
        <v>36.0</v>
      </c>
      <c r="C41" s="38" t="s">
        <v>49</v>
      </c>
      <c r="D41" s="38">
        <v>2.0</v>
      </c>
      <c r="E41" s="38" t="s">
        <v>70</v>
      </c>
      <c r="F41" s="38" t="s">
        <v>71</v>
      </c>
    </row>
    <row r="42">
      <c r="B42" s="38">
        <v>37.0</v>
      </c>
      <c r="C42" s="38" t="s">
        <v>49</v>
      </c>
      <c r="D42" s="38"/>
      <c r="E42" s="38" t="s">
        <v>70</v>
      </c>
      <c r="F42" s="38" t="s">
        <v>72</v>
      </c>
    </row>
    <row r="43">
      <c r="B43" s="38">
        <v>38.0</v>
      </c>
      <c r="C43" s="38" t="s">
        <v>59</v>
      </c>
      <c r="D43" s="38"/>
      <c r="E43" s="38" t="s">
        <v>70</v>
      </c>
      <c r="F43" s="38" t="s">
        <v>73</v>
      </c>
    </row>
    <row r="44">
      <c r="B44" s="38">
        <v>39.0</v>
      </c>
      <c r="C44" s="38" t="s">
        <v>59</v>
      </c>
      <c r="D44" s="38"/>
      <c r="E44" s="38" t="s">
        <v>70</v>
      </c>
      <c r="F44" s="38" t="s">
        <v>74</v>
      </c>
    </row>
    <row r="45">
      <c r="B45" s="38">
        <v>40.0</v>
      </c>
      <c r="C45" s="38" t="s">
        <v>59</v>
      </c>
      <c r="D45" s="38"/>
      <c r="E45" s="38" t="s">
        <v>70</v>
      </c>
      <c r="F45" s="38" t="s">
        <v>75</v>
      </c>
    </row>
    <row r="46">
      <c r="B46" s="38">
        <v>41.0</v>
      </c>
      <c r="C46" s="38"/>
      <c r="D46" s="38"/>
      <c r="E46" s="38" t="s">
        <v>70</v>
      </c>
      <c r="F46" s="38"/>
    </row>
    <row r="47">
      <c r="B47" s="38">
        <v>42.0</v>
      </c>
      <c r="C47" s="38"/>
      <c r="D47" s="38"/>
      <c r="E47" s="38" t="s">
        <v>70</v>
      </c>
      <c r="F47" s="38"/>
    </row>
    <row r="48">
      <c r="B48" s="38">
        <v>43.0</v>
      </c>
      <c r="C48" s="38" t="s">
        <v>76</v>
      </c>
      <c r="D48" s="38">
        <v>3.0</v>
      </c>
      <c r="E48" s="38" t="s">
        <v>77</v>
      </c>
      <c r="F48" s="38" t="s">
        <v>78</v>
      </c>
    </row>
    <row r="49">
      <c r="B49" s="38">
        <v>44.0</v>
      </c>
      <c r="C49" s="38" t="s">
        <v>76</v>
      </c>
      <c r="D49" s="38"/>
      <c r="E49" s="38" t="s">
        <v>77</v>
      </c>
      <c r="F49" s="38" t="s">
        <v>79</v>
      </c>
    </row>
    <row r="50">
      <c r="B50" s="38">
        <v>45.0</v>
      </c>
      <c r="C50" s="38" t="s">
        <v>76</v>
      </c>
      <c r="D50" s="38"/>
      <c r="E50" s="38" t="s">
        <v>77</v>
      </c>
      <c r="F50" s="38" t="s">
        <v>80</v>
      </c>
    </row>
    <row r="51">
      <c r="B51" s="38">
        <v>46.0</v>
      </c>
      <c r="C51" s="38" t="s">
        <v>76</v>
      </c>
      <c r="D51" s="38"/>
      <c r="E51" s="38" t="s">
        <v>77</v>
      </c>
      <c r="F51" s="38" t="s">
        <v>81</v>
      </c>
    </row>
    <row r="52">
      <c r="B52" s="38">
        <v>47.0</v>
      </c>
      <c r="C52" s="38" t="s">
        <v>76</v>
      </c>
      <c r="D52" s="38"/>
      <c r="E52" s="38" t="s">
        <v>77</v>
      </c>
      <c r="F52" s="38" t="s">
        <v>82</v>
      </c>
    </row>
    <row r="53">
      <c r="B53" s="38">
        <v>48.0</v>
      </c>
      <c r="C53" s="38"/>
      <c r="D53" s="38"/>
      <c r="E53" s="38" t="s">
        <v>77</v>
      </c>
      <c r="F53" s="38"/>
    </row>
    <row r="54">
      <c r="B54" s="38">
        <v>49.0</v>
      </c>
      <c r="C54" s="38"/>
      <c r="D54" s="38"/>
      <c r="E54" s="38" t="s">
        <v>77</v>
      </c>
      <c r="F54" s="38"/>
    </row>
    <row r="55">
      <c r="B55" s="38">
        <v>50.0</v>
      </c>
      <c r="C55" s="38" t="s">
        <v>76</v>
      </c>
      <c r="D55" s="38">
        <v>4.0</v>
      </c>
      <c r="E55" s="38" t="s">
        <v>83</v>
      </c>
      <c r="F55" s="38" t="s">
        <v>84</v>
      </c>
    </row>
    <row r="56">
      <c r="B56" s="38">
        <v>51.0</v>
      </c>
      <c r="C56" s="38" t="s">
        <v>76</v>
      </c>
      <c r="D56" s="38"/>
      <c r="E56" s="38" t="s">
        <v>83</v>
      </c>
      <c r="F56" s="38" t="s">
        <v>85</v>
      </c>
    </row>
    <row r="57">
      <c r="B57" s="38">
        <v>52.0</v>
      </c>
      <c r="C57" s="38" t="s">
        <v>76</v>
      </c>
      <c r="D57" s="38"/>
      <c r="E57" s="38" t="s">
        <v>83</v>
      </c>
      <c r="F57" s="38" t="s">
        <v>86</v>
      </c>
    </row>
    <row r="58">
      <c r="B58" s="38">
        <v>53.0</v>
      </c>
      <c r="C58" s="38"/>
      <c r="D58" s="38"/>
      <c r="E58" s="38" t="s">
        <v>83</v>
      </c>
      <c r="F58" s="38"/>
    </row>
    <row r="59">
      <c r="B59" s="38">
        <v>54.0</v>
      </c>
      <c r="C59" s="38"/>
      <c r="D59" s="38"/>
      <c r="E59" s="38" t="s">
        <v>83</v>
      </c>
      <c r="F59" s="38"/>
    </row>
    <row r="60">
      <c r="B60" s="38">
        <v>55.0</v>
      </c>
      <c r="C60" s="38"/>
      <c r="D60" s="38"/>
      <c r="E60" s="38" t="s">
        <v>83</v>
      </c>
      <c r="F60" s="38"/>
    </row>
    <row r="61">
      <c r="B61" s="38">
        <v>56.0</v>
      </c>
      <c r="C61" s="38"/>
      <c r="D61" s="38"/>
      <c r="E61" s="38" t="s">
        <v>83</v>
      </c>
      <c r="F61" s="38"/>
    </row>
    <row r="62">
      <c r="B62" s="38">
        <v>57.0</v>
      </c>
      <c r="C62" s="38" t="s">
        <v>76</v>
      </c>
      <c r="D62" s="38">
        <v>5.0</v>
      </c>
      <c r="E62" s="38" t="s">
        <v>87</v>
      </c>
      <c r="F62" s="38" t="s">
        <v>88</v>
      </c>
    </row>
    <row r="63">
      <c r="B63" s="38">
        <v>58.0</v>
      </c>
      <c r="C63" s="38" t="s">
        <v>39</v>
      </c>
      <c r="D63" s="38"/>
      <c r="E63" s="38" t="s">
        <v>87</v>
      </c>
      <c r="F63" s="38" t="s">
        <v>89</v>
      </c>
    </row>
    <row r="64">
      <c r="B64" s="38">
        <v>59.0</v>
      </c>
      <c r="C64" s="38" t="s">
        <v>39</v>
      </c>
      <c r="D64" s="38"/>
      <c r="E64" s="38" t="s">
        <v>87</v>
      </c>
      <c r="F64" s="38" t="s">
        <v>90</v>
      </c>
    </row>
    <row r="65">
      <c r="B65" s="38">
        <v>60.0</v>
      </c>
      <c r="C65" s="38" t="s">
        <v>39</v>
      </c>
      <c r="D65" s="38"/>
      <c r="E65" s="38" t="s">
        <v>87</v>
      </c>
      <c r="F65" s="38" t="s">
        <v>91</v>
      </c>
    </row>
    <row r="66">
      <c r="B66" s="38">
        <v>61.0</v>
      </c>
      <c r="C66" s="38" t="s">
        <v>39</v>
      </c>
      <c r="D66" s="38"/>
      <c r="E66" s="38" t="s">
        <v>87</v>
      </c>
      <c r="F66" s="38" t="s">
        <v>92</v>
      </c>
    </row>
    <row r="67">
      <c r="B67" s="38">
        <v>62.0</v>
      </c>
      <c r="C67" s="38" t="s">
        <v>39</v>
      </c>
      <c r="D67" s="38"/>
      <c r="E67" s="38" t="s">
        <v>87</v>
      </c>
      <c r="F67" s="38"/>
    </row>
    <row r="68">
      <c r="B68" s="38">
        <v>63.0</v>
      </c>
      <c r="C68" s="38"/>
      <c r="D68" s="38"/>
      <c r="E68" s="38" t="s">
        <v>87</v>
      </c>
      <c r="F68" s="38"/>
    </row>
    <row r="69">
      <c r="B69" s="38">
        <v>64.0</v>
      </c>
      <c r="C69" s="38" t="s">
        <v>93</v>
      </c>
      <c r="D69" s="38">
        <v>5.0</v>
      </c>
      <c r="E69" s="38" t="s">
        <v>94</v>
      </c>
      <c r="F69" s="38" t="s">
        <v>95</v>
      </c>
    </row>
    <row r="70">
      <c r="B70" s="38">
        <v>65.0</v>
      </c>
      <c r="C70" s="38" t="s">
        <v>93</v>
      </c>
      <c r="D70" s="38"/>
      <c r="E70" s="38" t="s">
        <v>94</v>
      </c>
      <c r="F70" s="38" t="s">
        <v>96</v>
      </c>
    </row>
    <row r="71">
      <c r="B71" s="38">
        <v>66.0</v>
      </c>
      <c r="C71" s="38" t="s">
        <v>93</v>
      </c>
      <c r="D71" s="38"/>
      <c r="E71" s="38" t="s">
        <v>94</v>
      </c>
      <c r="F71" s="38" t="s">
        <v>97</v>
      </c>
    </row>
    <row r="72">
      <c r="B72" s="38">
        <v>67.0</v>
      </c>
      <c r="C72" s="38" t="s">
        <v>93</v>
      </c>
      <c r="D72" s="38"/>
      <c r="E72" s="38" t="s">
        <v>94</v>
      </c>
      <c r="F72" s="38" t="s">
        <v>98</v>
      </c>
    </row>
    <row r="73">
      <c r="B73" s="38">
        <v>68.0</v>
      </c>
      <c r="C73" s="38"/>
      <c r="D73" s="38"/>
      <c r="E73" s="38" t="s">
        <v>94</v>
      </c>
      <c r="F73" s="38" t="s">
        <v>99</v>
      </c>
    </row>
    <row r="74">
      <c r="B74" s="38">
        <v>69.0</v>
      </c>
      <c r="C74" s="38"/>
      <c r="D74" s="38"/>
      <c r="E74" s="38" t="s">
        <v>94</v>
      </c>
      <c r="F74" s="38" t="s">
        <v>100</v>
      </c>
    </row>
    <row r="75">
      <c r="B75" s="38">
        <v>70.0</v>
      </c>
      <c r="C75" s="38"/>
      <c r="D75" s="38"/>
      <c r="E75" s="38" t="s">
        <v>94</v>
      </c>
      <c r="F75" s="38"/>
    </row>
    <row r="76">
      <c r="B76" s="38">
        <v>71.0</v>
      </c>
      <c r="C76" s="38" t="s">
        <v>101</v>
      </c>
      <c r="D76" s="38">
        <v>5.0</v>
      </c>
      <c r="E76" s="38" t="s">
        <v>102</v>
      </c>
      <c r="F76" s="38" t="s">
        <v>103</v>
      </c>
    </row>
    <row r="77">
      <c r="B77" s="38">
        <v>72.0</v>
      </c>
      <c r="C77" s="38" t="s">
        <v>101</v>
      </c>
      <c r="D77" s="38"/>
      <c r="E77" s="38" t="s">
        <v>102</v>
      </c>
      <c r="F77" s="38" t="s">
        <v>104</v>
      </c>
    </row>
    <row r="78">
      <c r="B78" s="38">
        <v>73.0</v>
      </c>
      <c r="C78" s="38" t="s">
        <v>101</v>
      </c>
      <c r="D78" s="38"/>
      <c r="E78" s="38" t="s">
        <v>102</v>
      </c>
      <c r="F78" s="38" t="s">
        <v>105</v>
      </c>
    </row>
    <row r="79">
      <c r="B79" s="38">
        <v>74.0</v>
      </c>
      <c r="C79" s="38" t="s">
        <v>101</v>
      </c>
      <c r="D79" s="38"/>
      <c r="E79" s="38" t="s">
        <v>102</v>
      </c>
      <c r="F79" s="38"/>
    </row>
    <row r="80">
      <c r="B80" s="38">
        <v>75.0</v>
      </c>
      <c r="C80" s="38"/>
      <c r="D80" s="38"/>
      <c r="E80" s="38" t="s">
        <v>102</v>
      </c>
      <c r="F80" s="38"/>
    </row>
    <row r="81">
      <c r="B81" s="38">
        <v>76.0</v>
      </c>
      <c r="C81" s="38"/>
      <c r="D81" s="38"/>
      <c r="E81" s="38" t="s">
        <v>102</v>
      </c>
      <c r="F81" s="38"/>
    </row>
    <row r="82">
      <c r="B82" s="38">
        <v>77.0</v>
      </c>
      <c r="C82" s="38"/>
      <c r="D82" s="38"/>
      <c r="E82" s="38" t="s">
        <v>102</v>
      </c>
      <c r="F82" s="38"/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7.25"/>
    <col customWidth="1" min="4" max="4" width="14.63"/>
    <col customWidth="1" min="5" max="5" width="22.38"/>
    <col customWidth="1" min="6" max="6" width="31.88"/>
  </cols>
  <sheetData>
    <row r="2">
      <c r="B2" s="33" t="s">
        <v>1</v>
      </c>
      <c r="C2" s="34" t="s">
        <v>2</v>
      </c>
      <c r="D2" s="8"/>
      <c r="E2" s="8"/>
      <c r="F2" s="6"/>
    </row>
    <row r="3">
      <c r="B3" s="33" t="s">
        <v>33</v>
      </c>
      <c r="C3" s="35" t="s">
        <v>34</v>
      </c>
      <c r="D3" s="8"/>
      <c r="E3" s="8"/>
      <c r="F3" s="6"/>
    </row>
    <row r="4">
      <c r="B4" s="36"/>
    </row>
    <row r="5">
      <c r="B5" s="37" t="s">
        <v>35</v>
      </c>
      <c r="C5" s="37" t="s">
        <v>18</v>
      </c>
      <c r="D5" s="37" t="s">
        <v>36</v>
      </c>
      <c r="E5" s="37" t="s">
        <v>37</v>
      </c>
      <c r="F5" s="37" t="s">
        <v>38</v>
      </c>
    </row>
    <row r="6">
      <c r="B6" s="39">
        <v>1.0</v>
      </c>
      <c r="C6" s="40" t="s">
        <v>106</v>
      </c>
      <c r="D6" s="39">
        <v>2.0</v>
      </c>
      <c r="E6" s="40" t="s">
        <v>107</v>
      </c>
      <c r="F6" s="40" t="s">
        <v>108</v>
      </c>
    </row>
    <row r="7">
      <c r="B7" s="39">
        <v>2.0</v>
      </c>
      <c r="C7" s="40" t="s">
        <v>106</v>
      </c>
      <c r="D7" s="39">
        <v>2.0</v>
      </c>
      <c r="E7" s="40" t="s">
        <v>107</v>
      </c>
      <c r="F7" s="40" t="s">
        <v>109</v>
      </c>
    </row>
    <row r="8">
      <c r="B8" s="39">
        <v>3.0</v>
      </c>
      <c r="C8" s="40" t="s">
        <v>106</v>
      </c>
      <c r="D8" s="39">
        <v>2.0</v>
      </c>
      <c r="E8" s="40" t="s">
        <v>107</v>
      </c>
      <c r="F8" s="40" t="s">
        <v>110</v>
      </c>
    </row>
    <row r="9">
      <c r="B9" s="39">
        <v>4.0</v>
      </c>
      <c r="C9" s="40" t="s">
        <v>106</v>
      </c>
      <c r="D9" s="39">
        <v>2.0</v>
      </c>
      <c r="E9" s="40" t="s">
        <v>107</v>
      </c>
      <c r="F9" s="40" t="s">
        <v>111</v>
      </c>
    </row>
    <row r="10">
      <c r="B10" s="39">
        <v>5.0</v>
      </c>
      <c r="C10" s="40" t="s">
        <v>112</v>
      </c>
      <c r="D10" s="39">
        <v>2.0</v>
      </c>
      <c r="E10" s="40" t="s">
        <v>107</v>
      </c>
      <c r="F10" s="40" t="s">
        <v>113</v>
      </c>
    </row>
    <row r="11">
      <c r="B11" s="39">
        <v>6.0</v>
      </c>
      <c r="C11" s="40" t="s">
        <v>106</v>
      </c>
      <c r="D11" s="39">
        <v>2.0</v>
      </c>
      <c r="E11" s="40" t="s">
        <v>107</v>
      </c>
      <c r="F11" s="40" t="s">
        <v>114</v>
      </c>
    </row>
    <row r="12">
      <c r="B12" s="39">
        <v>7.0</v>
      </c>
      <c r="C12" s="40" t="s">
        <v>26</v>
      </c>
      <c r="D12" s="39">
        <v>2.0</v>
      </c>
      <c r="E12" s="40" t="s">
        <v>107</v>
      </c>
      <c r="F12" s="40" t="s">
        <v>115</v>
      </c>
    </row>
    <row r="13">
      <c r="B13" s="39">
        <v>8.0</v>
      </c>
      <c r="C13" s="40" t="s">
        <v>116</v>
      </c>
      <c r="D13" s="39">
        <v>3.0</v>
      </c>
      <c r="E13" s="40" t="s">
        <v>117</v>
      </c>
      <c r="F13" s="40" t="s">
        <v>118</v>
      </c>
    </row>
    <row r="14">
      <c r="B14" s="39">
        <v>9.0</v>
      </c>
      <c r="C14" s="40" t="s">
        <v>116</v>
      </c>
      <c r="D14" s="39">
        <v>3.0</v>
      </c>
      <c r="E14" s="40" t="s">
        <v>117</v>
      </c>
      <c r="F14" s="40" t="s">
        <v>119</v>
      </c>
    </row>
    <row r="15">
      <c r="B15" s="39">
        <v>10.0</v>
      </c>
      <c r="C15" s="40" t="s">
        <v>116</v>
      </c>
      <c r="D15" s="39">
        <v>3.0</v>
      </c>
      <c r="E15" s="40" t="s">
        <v>117</v>
      </c>
      <c r="F15" s="40" t="s">
        <v>120</v>
      </c>
    </row>
    <row r="16">
      <c r="B16" s="39">
        <v>11.0</v>
      </c>
      <c r="C16" s="40" t="s">
        <v>116</v>
      </c>
      <c r="D16" s="39">
        <v>3.0</v>
      </c>
      <c r="E16" s="40" t="s">
        <v>117</v>
      </c>
      <c r="F16" s="40" t="s">
        <v>121</v>
      </c>
    </row>
    <row r="17">
      <c r="B17" s="39">
        <v>12.0</v>
      </c>
      <c r="C17" s="40" t="s">
        <v>116</v>
      </c>
      <c r="D17" s="39">
        <v>3.0</v>
      </c>
      <c r="E17" s="40" t="s">
        <v>117</v>
      </c>
      <c r="F17" s="40" t="s">
        <v>122</v>
      </c>
    </row>
    <row r="18">
      <c r="B18" s="39">
        <v>13.0</v>
      </c>
      <c r="C18" s="40" t="s">
        <v>26</v>
      </c>
      <c r="D18" s="39">
        <v>3.0</v>
      </c>
      <c r="E18" s="40" t="s">
        <v>117</v>
      </c>
      <c r="F18" s="40" t="s">
        <v>123</v>
      </c>
    </row>
    <row r="19">
      <c r="B19" s="39">
        <v>14.0</v>
      </c>
      <c r="C19" s="40" t="s">
        <v>26</v>
      </c>
      <c r="D19" s="39">
        <v>3.0</v>
      </c>
      <c r="E19" s="40" t="s">
        <v>117</v>
      </c>
      <c r="F19" s="40" t="s">
        <v>124</v>
      </c>
    </row>
    <row r="20">
      <c r="B20" s="39">
        <v>15.0</v>
      </c>
      <c r="C20" s="40" t="s">
        <v>116</v>
      </c>
      <c r="D20" s="39">
        <v>4.0</v>
      </c>
      <c r="E20" s="40" t="s">
        <v>125</v>
      </c>
      <c r="F20" s="40" t="s">
        <v>126</v>
      </c>
    </row>
    <row r="21">
      <c r="B21" s="39">
        <v>16.0</v>
      </c>
      <c r="C21" s="40" t="s">
        <v>116</v>
      </c>
      <c r="D21" s="39">
        <v>4.0</v>
      </c>
      <c r="E21" s="40" t="s">
        <v>125</v>
      </c>
      <c r="F21" s="40" t="s">
        <v>127</v>
      </c>
    </row>
    <row r="22">
      <c r="B22" s="39">
        <v>17.0</v>
      </c>
      <c r="C22" s="40" t="s">
        <v>116</v>
      </c>
      <c r="D22" s="39">
        <v>4.0</v>
      </c>
      <c r="E22" s="40" t="s">
        <v>125</v>
      </c>
      <c r="F22" s="40" t="s">
        <v>128</v>
      </c>
    </row>
    <row r="23">
      <c r="B23" s="39">
        <v>18.0</v>
      </c>
      <c r="C23" s="40" t="s">
        <v>116</v>
      </c>
      <c r="D23" s="39">
        <v>4.0</v>
      </c>
      <c r="E23" s="40" t="s">
        <v>125</v>
      </c>
      <c r="F23" s="40" t="s">
        <v>129</v>
      </c>
    </row>
    <row r="24">
      <c r="B24" s="39">
        <v>19.0</v>
      </c>
      <c r="C24" s="40" t="s">
        <v>116</v>
      </c>
      <c r="D24" s="39">
        <v>4.0</v>
      </c>
      <c r="E24" s="40" t="s">
        <v>125</v>
      </c>
      <c r="F24" s="40" t="s">
        <v>130</v>
      </c>
    </row>
    <row r="25">
      <c r="B25" s="39">
        <v>20.0</v>
      </c>
      <c r="C25" s="40" t="s">
        <v>116</v>
      </c>
      <c r="D25" s="39">
        <v>4.0</v>
      </c>
      <c r="E25" s="40" t="s">
        <v>125</v>
      </c>
      <c r="F25" s="40" t="s">
        <v>131</v>
      </c>
    </row>
    <row r="26">
      <c r="B26" s="39">
        <v>21.0</v>
      </c>
      <c r="C26" s="40" t="s">
        <v>26</v>
      </c>
      <c r="D26" s="39">
        <v>4.0</v>
      </c>
      <c r="E26" s="40" t="s">
        <v>125</v>
      </c>
      <c r="F26" s="40" t="s">
        <v>132</v>
      </c>
    </row>
    <row r="27">
      <c r="B27" s="39">
        <v>22.0</v>
      </c>
      <c r="C27" s="40" t="s">
        <v>30</v>
      </c>
      <c r="D27" s="39">
        <v>5.0</v>
      </c>
      <c r="E27" s="40" t="s">
        <v>133</v>
      </c>
      <c r="F27" s="40" t="s">
        <v>134</v>
      </c>
    </row>
    <row r="28">
      <c r="B28" s="39">
        <v>23.0</v>
      </c>
      <c r="C28" s="40" t="s">
        <v>30</v>
      </c>
      <c r="D28" s="39">
        <v>5.0</v>
      </c>
      <c r="E28" s="40" t="s">
        <v>133</v>
      </c>
      <c r="F28" s="40" t="s">
        <v>135</v>
      </c>
    </row>
    <row r="29">
      <c r="B29" s="39">
        <v>24.0</v>
      </c>
      <c r="C29" s="40" t="s">
        <v>30</v>
      </c>
      <c r="D29" s="39">
        <v>5.0</v>
      </c>
      <c r="E29" s="40" t="s">
        <v>133</v>
      </c>
      <c r="F29" s="40" t="s">
        <v>136</v>
      </c>
    </row>
    <row r="30">
      <c r="B30" s="39">
        <v>25.0</v>
      </c>
      <c r="C30" s="40" t="s">
        <v>30</v>
      </c>
      <c r="D30" s="39">
        <v>5.0</v>
      </c>
      <c r="E30" s="40" t="s">
        <v>133</v>
      </c>
      <c r="F30" s="40" t="s">
        <v>137</v>
      </c>
    </row>
    <row r="31">
      <c r="B31" s="39">
        <v>26.0</v>
      </c>
      <c r="C31" s="40" t="s">
        <v>30</v>
      </c>
      <c r="D31" s="39">
        <v>5.0</v>
      </c>
      <c r="E31" s="40" t="s">
        <v>133</v>
      </c>
      <c r="F31" s="40" t="s">
        <v>138</v>
      </c>
    </row>
    <row r="32">
      <c r="B32" s="39">
        <v>27.0</v>
      </c>
      <c r="C32" s="40" t="s">
        <v>30</v>
      </c>
      <c r="D32" s="39">
        <v>5.0</v>
      </c>
      <c r="E32" s="40" t="s">
        <v>133</v>
      </c>
      <c r="F32" s="40" t="s">
        <v>139</v>
      </c>
    </row>
    <row r="33">
      <c r="B33" s="39">
        <v>28.0</v>
      </c>
      <c r="C33" s="40" t="s">
        <v>30</v>
      </c>
      <c r="D33" s="39">
        <v>5.0</v>
      </c>
      <c r="E33" s="40" t="s">
        <v>133</v>
      </c>
      <c r="F33" s="40" t="s">
        <v>140</v>
      </c>
    </row>
    <row r="34">
      <c r="B34" s="39">
        <v>29.0</v>
      </c>
      <c r="C34" s="40" t="s">
        <v>31</v>
      </c>
      <c r="D34" s="39">
        <v>6.0</v>
      </c>
      <c r="E34" s="40" t="s">
        <v>141</v>
      </c>
      <c r="F34" s="40" t="s">
        <v>142</v>
      </c>
    </row>
    <row r="35">
      <c r="B35" s="39">
        <v>30.0</v>
      </c>
      <c r="C35" s="40" t="s">
        <v>31</v>
      </c>
      <c r="D35" s="39">
        <v>6.0</v>
      </c>
      <c r="E35" s="40" t="s">
        <v>141</v>
      </c>
      <c r="F35" s="40" t="s">
        <v>143</v>
      </c>
    </row>
    <row r="36">
      <c r="B36" s="39">
        <v>31.0</v>
      </c>
      <c r="C36" s="40" t="s">
        <v>31</v>
      </c>
      <c r="D36" s="39">
        <v>6.0</v>
      </c>
      <c r="E36" s="40" t="s">
        <v>141</v>
      </c>
      <c r="F36" s="40" t="s">
        <v>144</v>
      </c>
    </row>
    <row r="37">
      <c r="B37" s="39">
        <v>32.0</v>
      </c>
      <c r="C37" s="40" t="s">
        <v>31</v>
      </c>
      <c r="D37" s="39">
        <v>6.0</v>
      </c>
      <c r="E37" s="40" t="s">
        <v>141</v>
      </c>
      <c r="F37" s="40" t="s">
        <v>145</v>
      </c>
    </row>
    <row r="38">
      <c r="B38" s="39">
        <v>33.0</v>
      </c>
      <c r="C38" s="40" t="s">
        <v>31</v>
      </c>
      <c r="D38" s="39">
        <v>6.0</v>
      </c>
      <c r="E38" s="40" t="s">
        <v>141</v>
      </c>
      <c r="F38" s="40" t="s">
        <v>146</v>
      </c>
    </row>
    <row r="39">
      <c r="B39" s="39">
        <v>34.0</v>
      </c>
      <c r="C39" s="40" t="s">
        <v>31</v>
      </c>
      <c r="D39" s="39">
        <v>6.0</v>
      </c>
      <c r="E39" s="40" t="s">
        <v>141</v>
      </c>
      <c r="F39" s="40" t="s">
        <v>147</v>
      </c>
    </row>
    <row r="40">
      <c r="B40" s="39">
        <v>35.0</v>
      </c>
      <c r="C40" s="40" t="s">
        <v>31</v>
      </c>
      <c r="D40" s="39">
        <v>6.0</v>
      </c>
      <c r="E40" s="40" t="s">
        <v>141</v>
      </c>
      <c r="F40" s="40" t="s">
        <v>148</v>
      </c>
    </row>
    <row r="41">
      <c r="B41" s="39">
        <v>36.0</v>
      </c>
      <c r="C41" s="40" t="s">
        <v>31</v>
      </c>
      <c r="D41" s="39">
        <v>7.0</v>
      </c>
      <c r="E41" s="40" t="s">
        <v>87</v>
      </c>
      <c r="F41" s="40" t="s">
        <v>149</v>
      </c>
    </row>
    <row r="42">
      <c r="B42" s="39">
        <v>37.0</v>
      </c>
      <c r="C42" s="40" t="s">
        <v>31</v>
      </c>
      <c r="D42" s="39">
        <v>7.0</v>
      </c>
      <c r="E42" s="40" t="s">
        <v>87</v>
      </c>
      <c r="F42" s="40" t="s">
        <v>150</v>
      </c>
    </row>
    <row r="43">
      <c r="B43" s="39">
        <v>38.0</v>
      </c>
      <c r="C43" s="40" t="s">
        <v>31</v>
      </c>
      <c r="D43" s="39">
        <v>7.0</v>
      </c>
      <c r="E43" s="40" t="s">
        <v>87</v>
      </c>
      <c r="F43" s="40" t="s">
        <v>151</v>
      </c>
    </row>
    <row r="44">
      <c r="B44" s="39">
        <v>39.0</v>
      </c>
      <c r="C44" s="40" t="s">
        <v>31</v>
      </c>
      <c r="D44" s="39">
        <v>7.0</v>
      </c>
      <c r="E44" s="40" t="s">
        <v>87</v>
      </c>
      <c r="F44" s="40" t="s">
        <v>152</v>
      </c>
    </row>
    <row r="45">
      <c r="B45" s="39">
        <v>40.0</v>
      </c>
      <c r="C45" s="40" t="s">
        <v>31</v>
      </c>
      <c r="D45" s="39">
        <v>7.0</v>
      </c>
      <c r="E45" s="40" t="s">
        <v>87</v>
      </c>
      <c r="F45" s="40" t="s">
        <v>153</v>
      </c>
    </row>
    <row r="46">
      <c r="B46" s="39">
        <v>41.0</v>
      </c>
      <c r="C46" s="40" t="s">
        <v>31</v>
      </c>
      <c r="D46" s="39">
        <v>7.0</v>
      </c>
      <c r="E46" s="40" t="s">
        <v>87</v>
      </c>
      <c r="F46" s="40" t="s">
        <v>154</v>
      </c>
    </row>
    <row r="47">
      <c r="B47" s="39">
        <v>42.0</v>
      </c>
      <c r="C47" s="40" t="s">
        <v>31</v>
      </c>
      <c r="D47" s="39">
        <v>7.0</v>
      </c>
      <c r="E47" s="40" t="s">
        <v>87</v>
      </c>
      <c r="F47" s="40" t="s">
        <v>155</v>
      </c>
    </row>
    <row r="48">
      <c r="B48" s="39">
        <v>43.0</v>
      </c>
      <c r="C48" s="40" t="s">
        <v>31</v>
      </c>
      <c r="D48" s="39">
        <v>8.0</v>
      </c>
      <c r="E48" s="40" t="s">
        <v>156</v>
      </c>
      <c r="F48" s="40" t="s">
        <v>157</v>
      </c>
    </row>
    <row r="49">
      <c r="B49" s="39">
        <v>44.0</v>
      </c>
      <c r="C49" s="40" t="s">
        <v>31</v>
      </c>
      <c r="D49" s="39">
        <v>8.0</v>
      </c>
      <c r="E49" s="40" t="s">
        <v>156</v>
      </c>
      <c r="F49" s="40" t="s">
        <v>158</v>
      </c>
    </row>
    <row r="50">
      <c r="B50" s="39">
        <v>45.0</v>
      </c>
      <c r="C50" s="40" t="s">
        <v>31</v>
      </c>
      <c r="D50" s="39">
        <v>8.0</v>
      </c>
      <c r="E50" s="40" t="s">
        <v>156</v>
      </c>
      <c r="F50" s="40" t="s">
        <v>159</v>
      </c>
    </row>
    <row r="51">
      <c r="B51" s="39">
        <v>46.0</v>
      </c>
      <c r="C51" s="40" t="s">
        <v>31</v>
      </c>
      <c r="D51" s="39">
        <v>8.0</v>
      </c>
      <c r="E51" s="40" t="s">
        <v>156</v>
      </c>
      <c r="F51" s="40" t="s">
        <v>160</v>
      </c>
    </row>
    <row r="52">
      <c r="B52" s="39">
        <v>47.0</v>
      </c>
      <c r="C52" s="40" t="s">
        <v>31</v>
      </c>
      <c r="D52" s="39">
        <v>8.0</v>
      </c>
      <c r="E52" s="40" t="s">
        <v>156</v>
      </c>
      <c r="F52" s="40" t="s">
        <v>161</v>
      </c>
    </row>
    <row r="53">
      <c r="B53" s="39">
        <v>48.0</v>
      </c>
      <c r="C53" s="40" t="s">
        <v>31</v>
      </c>
      <c r="D53" s="39">
        <v>8.0</v>
      </c>
      <c r="E53" s="40" t="s">
        <v>156</v>
      </c>
      <c r="F53" s="40" t="s">
        <v>162</v>
      </c>
    </row>
    <row r="54">
      <c r="B54" s="39">
        <v>49.0</v>
      </c>
      <c r="C54" s="40" t="s">
        <v>26</v>
      </c>
      <c r="D54" s="39">
        <v>8.0</v>
      </c>
      <c r="E54" s="40" t="s">
        <v>156</v>
      </c>
      <c r="F54" s="40" t="s">
        <v>163</v>
      </c>
    </row>
    <row r="55">
      <c r="B55" s="39">
        <v>50.0</v>
      </c>
      <c r="C55" s="40" t="s">
        <v>164</v>
      </c>
      <c r="D55" s="39">
        <v>9.0</v>
      </c>
      <c r="E55" s="40" t="s">
        <v>165</v>
      </c>
      <c r="F55" s="40" t="s">
        <v>166</v>
      </c>
    </row>
    <row r="56">
      <c r="B56" s="39">
        <v>51.0</v>
      </c>
      <c r="C56" s="40" t="s">
        <v>164</v>
      </c>
      <c r="D56" s="39">
        <v>9.0</v>
      </c>
      <c r="E56" s="40" t="s">
        <v>165</v>
      </c>
      <c r="F56" s="40" t="s">
        <v>167</v>
      </c>
    </row>
    <row r="57">
      <c r="B57" s="39">
        <v>52.0</v>
      </c>
      <c r="C57" s="40" t="s">
        <v>164</v>
      </c>
      <c r="D57" s="39">
        <v>9.0</v>
      </c>
      <c r="E57" s="40" t="s">
        <v>165</v>
      </c>
      <c r="F57" s="40" t="s">
        <v>168</v>
      </c>
    </row>
    <row r="58">
      <c r="B58" s="39">
        <v>53.0</v>
      </c>
      <c r="C58" s="40" t="s">
        <v>164</v>
      </c>
      <c r="D58" s="39">
        <v>9.0</v>
      </c>
      <c r="E58" s="40" t="s">
        <v>165</v>
      </c>
      <c r="F58" s="40" t="s">
        <v>169</v>
      </c>
    </row>
    <row r="59">
      <c r="B59" s="39">
        <v>54.0</v>
      </c>
      <c r="C59" s="40" t="s">
        <v>164</v>
      </c>
      <c r="D59" s="39">
        <v>9.0</v>
      </c>
      <c r="E59" s="40" t="s">
        <v>165</v>
      </c>
      <c r="F59" s="40" t="s">
        <v>170</v>
      </c>
    </row>
    <row r="60">
      <c r="B60" s="39">
        <v>55.0</v>
      </c>
      <c r="C60" s="40" t="s">
        <v>164</v>
      </c>
      <c r="D60" s="39">
        <v>9.0</v>
      </c>
      <c r="E60" s="40" t="s">
        <v>165</v>
      </c>
      <c r="F60" s="40" t="s">
        <v>171</v>
      </c>
    </row>
    <row r="61">
      <c r="B61" s="39">
        <v>56.0</v>
      </c>
      <c r="C61" s="40" t="s">
        <v>26</v>
      </c>
      <c r="D61" s="39">
        <v>9.0</v>
      </c>
      <c r="E61" s="40" t="s">
        <v>165</v>
      </c>
      <c r="F61" s="40" t="s">
        <v>172</v>
      </c>
    </row>
    <row r="62">
      <c r="B62" s="39">
        <v>57.0</v>
      </c>
      <c r="C62" s="40" t="s">
        <v>30</v>
      </c>
      <c r="D62" s="39">
        <v>10.0</v>
      </c>
      <c r="E62" s="40" t="s">
        <v>173</v>
      </c>
      <c r="F62" s="40" t="s">
        <v>174</v>
      </c>
    </row>
    <row r="63">
      <c r="B63" s="39">
        <v>58.0</v>
      </c>
      <c r="C63" s="40" t="s">
        <v>30</v>
      </c>
      <c r="D63" s="39">
        <v>10.0</v>
      </c>
      <c r="E63" s="40" t="s">
        <v>173</v>
      </c>
      <c r="F63" s="40" t="s">
        <v>175</v>
      </c>
    </row>
    <row r="64">
      <c r="B64" s="39">
        <v>59.0</v>
      </c>
      <c r="C64" s="40" t="s">
        <v>30</v>
      </c>
      <c r="D64" s="39">
        <v>10.0</v>
      </c>
      <c r="E64" s="40" t="s">
        <v>173</v>
      </c>
      <c r="F64" s="40" t="s">
        <v>176</v>
      </c>
    </row>
    <row r="65">
      <c r="B65" s="39">
        <v>60.0</v>
      </c>
      <c r="C65" s="40" t="s">
        <v>30</v>
      </c>
      <c r="D65" s="39">
        <v>10.0</v>
      </c>
      <c r="E65" s="40" t="s">
        <v>173</v>
      </c>
      <c r="F65" s="40" t="s">
        <v>177</v>
      </c>
    </row>
    <row r="66">
      <c r="B66" s="39">
        <v>61.0</v>
      </c>
      <c r="C66" s="40" t="s">
        <v>30</v>
      </c>
      <c r="D66" s="39">
        <v>10.0</v>
      </c>
      <c r="E66" s="40" t="s">
        <v>173</v>
      </c>
      <c r="F66" s="40" t="s">
        <v>178</v>
      </c>
    </row>
    <row r="67">
      <c r="B67" s="39">
        <v>62.0</v>
      </c>
      <c r="C67" s="40" t="s">
        <v>26</v>
      </c>
      <c r="D67" s="39">
        <v>10.0</v>
      </c>
      <c r="E67" s="40" t="s">
        <v>173</v>
      </c>
      <c r="F67" s="40" t="s">
        <v>179</v>
      </c>
    </row>
    <row r="68">
      <c r="B68" s="39">
        <v>63.0</v>
      </c>
      <c r="C68" s="40" t="s">
        <v>26</v>
      </c>
      <c r="D68" s="39">
        <v>10.0</v>
      </c>
      <c r="E68" s="40" t="s">
        <v>173</v>
      </c>
      <c r="F68" s="40" t="s">
        <v>180</v>
      </c>
    </row>
    <row r="69">
      <c r="B69" s="39">
        <v>64.0</v>
      </c>
      <c r="C69" s="40" t="s">
        <v>164</v>
      </c>
      <c r="D69" s="39">
        <v>11.0</v>
      </c>
      <c r="E69" s="40" t="s">
        <v>181</v>
      </c>
      <c r="F69" s="40" t="s">
        <v>182</v>
      </c>
    </row>
    <row r="70">
      <c r="B70" s="39">
        <v>65.0</v>
      </c>
      <c r="C70" s="40" t="s">
        <v>31</v>
      </c>
      <c r="D70" s="39">
        <v>11.0</v>
      </c>
      <c r="E70" s="40" t="s">
        <v>181</v>
      </c>
      <c r="F70" s="40" t="s">
        <v>183</v>
      </c>
    </row>
    <row r="71">
      <c r="B71" s="39">
        <v>66.0</v>
      </c>
      <c r="C71" s="40" t="s">
        <v>164</v>
      </c>
      <c r="D71" s="39">
        <v>11.0</v>
      </c>
      <c r="E71" s="40" t="s">
        <v>181</v>
      </c>
      <c r="F71" s="40" t="s">
        <v>184</v>
      </c>
    </row>
    <row r="72">
      <c r="B72" s="39">
        <v>67.0</v>
      </c>
      <c r="C72" s="40" t="s">
        <v>164</v>
      </c>
      <c r="D72" s="39">
        <v>11.0</v>
      </c>
      <c r="E72" s="40" t="s">
        <v>181</v>
      </c>
      <c r="F72" s="40" t="s">
        <v>185</v>
      </c>
    </row>
    <row r="73">
      <c r="B73" s="39">
        <v>68.0</v>
      </c>
      <c r="C73" s="40" t="s">
        <v>31</v>
      </c>
      <c r="D73" s="39">
        <v>11.0</v>
      </c>
      <c r="E73" s="40" t="s">
        <v>181</v>
      </c>
      <c r="F73" s="40" t="s">
        <v>186</v>
      </c>
    </row>
    <row r="74">
      <c r="B74" s="39">
        <v>69.0</v>
      </c>
      <c r="C74" s="40" t="s">
        <v>164</v>
      </c>
      <c r="D74" s="39">
        <v>11.0</v>
      </c>
      <c r="E74" s="40" t="s">
        <v>181</v>
      </c>
      <c r="F74" s="40" t="s">
        <v>187</v>
      </c>
    </row>
    <row r="75">
      <c r="B75" s="39">
        <v>70.0</v>
      </c>
      <c r="C75" s="40" t="s">
        <v>26</v>
      </c>
      <c r="D75" s="39">
        <v>11.0</v>
      </c>
      <c r="E75" s="40" t="s">
        <v>181</v>
      </c>
      <c r="F75" s="40" t="s">
        <v>172</v>
      </c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58.63"/>
    <col customWidth="1" min="4" max="4" width="6.25"/>
    <col customWidth="1" min="5" max="5" width="35.5"/>
    <col customWidth="1" min="6" max="6" width="31.25"/>
  </cols>
  <sheetData>
    <row r="1">
      <c r="B1" s="36"/>
    </row>
    <row r="2">
      <c r="B2" s="33" t="s">
        <v>1</v>
      </c>
      <c r="C2" s="34" t="s">
        <v>32</v>
      </c>
      <c r="D2" s="8"/>
      <c r="E2" s="8"/>
      <c r="F2" s="6"/>
      <c r="G2" s="41"/>
      <c r="H2" s="41"/>
    </row>
    <row r="3">
      <c r="B3" s="33" t="s">
        <v>33</v>
      </c>
      <c r="C3" s="35" t="s">
        <v>34</v>
      </c>
      <c r="D3" s="8"/>
      <c r="E3" s="8"/>
      <c r="F3" s="6"/>
    </row>
    <row r="4">
      <c r="B4" s="36"/>
    </row>
    <row r="5">
      <c r="B5" s="37" t="s">
        <v>35</v>
      </c>
      <c r="C5" s="37" t="s">
        <v>18</v>
      </c>
      <c r="D5" s="37" t="s">
        <v>36</v>
      </c>
      <c r="E5" s="37" t="s">
        <v>37</v>
      </c>
      <c r="F5" s="37" t="s">
        <v>38</v>
      </c>
    </row>
    <row r="6">
      <c r="B6" s="36">
        <v>1.0</v>
      </c>
      <c r="C6" s="38" t="s">
        <v>39</v>
      </c>
      <c r="D6" s="38">
        <v>1.0</v>
      </c>
      <c r="E6" s="38" t="s">
        <v>40</v>
      </c>
      <c r="F6" s="38" t="s">
        <v>41</v>
      </c>
    </row>
    <row r="7">
      <c r="B7" s="36">
        <v>2.0</v>
      </c>
      <c r="C7" s="38" t="s">
        <v>42</v>
      </c>
      <c r="D7" s="38"/>
      <c r="E7" s="38" t="s">
        <v>40</v>
      </c>
      <c r="F7" s="38" t="s">
        <v>43</v>
      </c>
    </row>
    <row r="8">
      <c r="B8" s="36">
        <v>3.0</v>
      </c>
      <c r="C8" s="38" t="s">
        <v>39</v>
      </c>
      <c r="D8" s="38"/>
      <c r="E8" s="38" t="s">
        <v>40</v>
      </c>
      <c r="F8" s="38" t="s">
        <v>44</v>
      </c>
    </row>
    <row r="9">
      <c r="B9" s="36">
        <v>4.0</v>
      </c>
      <c r="C9" s="38" t="s">
        <v>39</v>
      </c>
      <c r="D9" s="38"/>
      <c r="E9" s="38" t="s">
        <v>40</v>
      </c>
      <c r="F9" s="38" t="s">
        <v>45</v>
      </c>
    </row>
    <row r="10">
      <c r="B10" s="36">
        <v>5.0</v>
      </c>
      <c r="C10" s="38"/>
      <c r="D10" s="38"/>
      <c r="E10" s="38" t="s">
        <v>40</v>
      </c>
      <c r="F10" s="38"/>
    </row>
    <row r="11">
      <c r="B11" s="36">
        <v>6.0</v>
      </c>
      <c r="C11" s="38"/>
      <c r="D11" s="38"/>
      <c r="E11" s="38" t="s">
        <v>40</v>
      </c>
      <c r="F11" s="38"/>
    </row>
    <row r="12">
      <c r="B12" s="36">
        <v>7.0</v>
      </c>
      <c r="C12" s="38"/>
      <c r="D12" s="38"/>
      <c r="E12" s="38" t="s">
        <v>40</v>
      </c>
      <c r="F12" s="38"/>
    </row>
    <row r="13">
      <c r="B13" s="36">
        <v>8.0</v>
      </c>
      <c r="C13" s="38" t="s">
        <v>39</v>
      </c>
      <c r="D13" s="38">
        <v>1.0</v>
      </c>
      <c r="E13" s="38" t="s">
        <v>46</v>
      </c>
      <c r="F13" s="38" t="s">
        <v>47</v>
      </c>
    </row>
    <row r="14">
      <c r="B14" s="36">
        <v>9.0</v>
      </c>
      <c r="C14" s="38" t="s">
        <v>39</v>
      </c>
      <c r="D14" s="38"/>
      <c r="E14" s="38" t="s">
        <v>46</v>
      </c>
      <c r="F14" s="38" t="s">
        <v>48</v>
      </c>
    </row>
    <row r="15">
      <c r="B15" s="36">
        <v>10.0</v>
      </c>
      <c r="C15" s="38" t="s">
        <v>49</v>
      </c>
      <c r="D15" s="38"/>
      <c r="E15" s="38" t="s">
        <v>46</v>
      </c>
      <c r="F15" s="38" t="s">
        <v>50</v>
      </c>
    </row>
    <row r="16">
      <c r="B16" s="36">
        <v>11.0</v>
      </c>
      <c r="C16" s="38" t="s">
        <v>49</v>
      </c>
      <c r="D16" s="38"/>
      <c r="E16" s="38" t="s">
        <v>46</v>
      </c>
      <c r="F16" s="38" t="s">
        <v>51</v>
      </c>
    </row>
    <row r="17">
      <c r="B17" s="36">
        <v>12.0</v>
      </c>
      <c r="C17" s="38" t="s">
        <v>49</v>
      </c>
      <c r="D17" s="38"/>
      <c r="E17" s="38" t="s">
        <v>46</v>
      </c>
      <c r="F17" s="38" t="s">
        <v>52</v>
      </c>
    </row>
    <row r="18">
      <c r="B18" s="36">
        <v>13.0</v>
      </c>
      <c r="C18" s="38" t="s">
        <v>42</v>
      </c>
      <c r="D18" s="38"/>
      <c r="E18" s="38" t="s">
        <v>46</v>
      </c>
      <c r="F18" s="38" t="s">
        <v>53</v>
      </c>
    </row>
    <row r="19">
      <c r="B19" s="36">
        <v>14.0</v>
      </c>
      <c r="C19" s="38"/>
      <c r="D19" s="38"/>
      <c r="E19" s="38" t="s">
        <v>46</v>
      </c>
      <c r="F19" s="38"/>
    </row>
    <row r="20">
      <c r="B20" s="36">
        <v>15.0</v>
      </c>
      <c r="C20" s="38" t="s">
        <v>49</v>
      </c>
      <c r="D20" s="38">
        <v>1.0</v>
      </c>
      <c r="E20" s="38" t="s">
        <v>54</v>
      </c>
      <c r="F20" s="38" t="s">
        <v>55</v>
      </c>
    </row>
    <row r="21">
      <c r="B21" s="36">
        <v>16.0</v>
      </c>
      <c r="C21" s="38" t="s">
        <v>49</v>
      </c>
      <c r="D21" s="38"/>
      <c r="E21" s="38" t="s">
        <v>54</v>
      </c>
      <c r="F21" s="38" t="s">
        <v>56</v>
      </c>
    </row>
    <row r="22">
      <c r="B22" s="36">
        <v>17.0</v>
      </c>
      <c r="C22" s="38" t="s">
        <v>49</v>
      </c>
      <c r="D22" s="38"/>
      <c r="E22" s="38" t="s">
        <v>54</v>
      </c>
      <c r="F22" s="38" t="s">
        <v>57</v>
      </c>
    </row>
    <row r="23">
      <c r="B23" s="36">
        <v>18.0</v>
      </c>
      <c r="C23" s="38" t="s">
        <v>49</v>
      </c>
      <c r="D23" s="38"/>
      <c r="E23" s="38" t="s">
        <v>54</v>
      </c>
      <c r="F23" s="38" t="s">
        <v>58</v>
      </c>
    </row>
    <row r="24">
      <c r="B24" s="36">
        <v>19.0</v>
      </c>
      <c r="C24" s="38"/>
      <c r="D24" s="38"/>
      <c r="E24" s="38" t="s">
        <v>54</v>
      </c>
      <c r="F24" s="38"/>
    </row>
    <row r="25">
      <c r="B25" s="36">
        <v>20.0</v>
      </c>
      <c r="C25" s="38"/>
      <c r="D25" s="38"/>
      <c r="E25" s="38" t="s">
        <v>54</v>
      </c>
      <c r="F25" s="38"/>
    </row>
    <row r="26">
      <c r="B26" s="36">
        <v>21.0</v>
      </c>
      <c r="C26" s="38"/>
      <c r="D26" s="38"/>
      <c r="E26" s="38" t="s">
        <v>54</v>
      </c>
      <c r="F26" s="38"/>
    </row>
    <row r="27">
      <c r="B27" s="36">
        <v>22.0</v>
      </c>
      <c r="C27" s="38" t="s">
        <v>59</v>
      </c>
      <c r="D27" s="38">
        <v>1.0</v>
      </c>
      <c r="E27" s="38" t="s">
        <v>60</v>
      </c>
      <c r="F27" s="38" t="s">
        <v>61</v>
      </c>
    </row>
    <row r="28">
      <c r="B28" s="36">
        <v>23.0</v>
      </c>
      <c r="C28" s="38" t="s">
        <v>42</v>
      </c>
      <c r="D28" s="38"/>
      <c r="E28" s="38" t="s">
        <v>60</v>
      </c>
      <c r="F28" s="38" t="s">
        <v>62</v>
      </c>
    </row>
    <row r="29">
      <c r="B29" s="36">
        <v>24.0</v>
      </c>
      <c r="C29" s="38" t="s">
        <v>49</v>
      </c>
      <c r="D29" s="38"/>
      <c r="E29" s="38" t="s">
        <v>60</v>
      </c>
      <c r="F29" s="38" t="s">
        <v>63</v>
      </c>
    </row>
    <row r="30">
      <c r="B30" s="36">
        <v>25.0</v>
      </c>
      <c r="C30" s="38" t="s">
        <v>49</v>
      </c>
      <c r="D30" s="38"/>
      <c r="E30" s="38" t="s">
        <v>60</v>
      </c>
      <c r="F30" s="38" t="s">
        <v>64</v>
      </c>
    </row>
    <row r="31">
      <c r="B31" s="36">
        <v>26.0</v>
      </c>
      <c r="C31" s="38" t="s">
        <v>49</v>
      </c>
      <c r="D31" s="38"/>
      <c r="E31" s="38" t="s">
        <v>60</v>
      </c>
      <c r="F31" s="38" t="s">
        <v>65</v>
      </c>
    </row>
    <row r="32">
      <c r="B32" s="36">
        <v>27.0</v>
      </c>
      <c r="C32" s="38"/>
      <c r="D32" s="38"/>
      <c r="E32" s="38" t="s">
        <v>60</v>
      </c>
      <c r="F32" s="38"/>
    </row>
    <row r="33">
      <c r="B33" s="36">
        <v>28.0</v>
      </c>
      <c r="C33" s="38"/>
      <c r="D33" s="38"/>
      <c r="E33" s="38" t="s">
        <v>60</v>
      </c>
      <c r="F33" s="38"/>
    </row>
    <row r="34">
      <c r="B34" s="36">
        <v>29.0</v>
      </c>
      <c r="C34" s="38" t="s">
        <v>49</v>
      </c>
      <c r="D34" s="38">
        <v>2.0</v>
      </c>
      <c r="E34" s="38" t="s">
        <v>66</v>
      </c>
      <c r="F34" s="38" t="s">
        <v>67</v>
      </c>
    </row>
    <row r="35">
      <c r="B35" s="36">
        <v>30.0</v>
      </c>
      <c r="C35" s="38" t="s">
        <v>49</v>
      </c>
      <c r="D35" s="38"/>
      <c r="E35" s="38" t="s">
        <v>66</v>
      </c>
      <c r="F35" s="38" t="s">
        <v>68</v>
      </c>
    </row>
    <row r="36">
      <c r="B36" s="36">
        <v>31.0</v>
      </c>
      <c r="C36" s="38" t="s">
        <v>42</v>
      </c>
      <c r="D36" s="38"/>
      <c r="E36" s="38" t="s">
        <v>66</v>
      </c>
      <c r="F36" s="38" t="s">
        <v>69</v>
      </c>
    </row>
    <row r="37">
      <c r="B37" s="36">
        <v>32.0</v>
      </c>
      <c r="C37" s="38"/>
      <c r="D37" s="38"/>
      <c r="E37" s="38" t="s">
        <v>66</v>
      </c>
      <c r="F37" s="38"/>
    </row>
    <row r="38">
      <c r="B38" s="36">
        <v>33.0</v>
      </c>
      <c r="C38" s="38"/>
      <c r="D38" s="38"/>
      <c r="E38" s="38" t="s">
        <v>66</v>
      </c>
      <c r="F38" s="38"/>
    </row>
    <row r="39">
      <c r="B39" s="36">
        <v>34.0</v>
      </c>
      <c r="C39" s="38"/>
      <c r="D39" s="38"/>
      <c r="E39" s="38" t="s">
        <v>66</v>
      </c>
      <c r="F39" s="38"/>
    </row>
    <row r="40">
      <c r="B40" s="36">
        <v>35.0</v>
      </c>
      <c r="C40" s="38"/>
      <c r="D40" s="38"/>
      <c r="E40" s="38" t="s">
        <v>66</v>
      </c>
      <c r="F40" s="38"/>
    </row>
    <row r="41">
      <c r="B41" s="36">
        <v>36.0</v>
      </c>
      <c r="C41" s="38" t="s">
        <v>49</v>
      </c>
      <c r="D41" s="38">
        <v>2.0</v>
      </c>
      <c r="E41" s="38" t="s">
        <v>70</v>
      </c>
      <c r="F41" s="38" t="s">
        <v>71</v>
      </c>
    </row>
    <row r="42">
      <c r="B42" s="36">
        <v>37.0</v>
      </c>
      <c r="C42" s="38" t="s">
        <v>49</v>
      </c>
      <c r="D42" s="38"/>
      <c r="E42" s="38" t="s">
        <v>70</v>
      </c>
      <c r="F42" s="38" t="s">
        <v>72</v>
      </c>
    </row>
    <row r="43">
      <c r="B43" s="36">
        <v>38.0</v>
      </c>
      <c r="C43" s="38" t="s">
        <v>59</v>
      </c>
      <c r="D43" s="38"/>
      <c r="E43" s="38" t="s">
        <v>70</v>
      </c>
      <c r="F43" s="38" t="s">
        <v>73</v>
      </c>
    </row>
    <row r="44">
      <c r="B44" s="36">
        <v>39.0</v>
      </c>
      <c r="C44" s="38" t="s">
        <v>59</v>
      </c>
      <c r="D44" s="38"/>
      <c r="E44" s="38" t="s">
        <v>70</v>
      </c>
      <c r="F44" s="38" t="s">
        <v>74</v>
      </c>
    </row>
    <row r="45">
      <c r="B45" s="36">
        <v>40.0</v>
      </c>
      <c r="C45" s="38" t="s">
        <v>59</v>
      </c>
      <c r="D45" s="38"/>
      <c r="E45" s="38" t="s">
        <v>70</v>
      </c>
      <c r="F45" s="38" t="s">
        <v>75</v>
      </c>
    </row>
    <row r="46">
      <c r="B46" s="36">
        <v>41.0</v>
      </c>
      <c r="C46" s="38"/>
      <c r="D46" s="38"/>
      <c r="E46" s="38" t="s">
        <v>70</v>
      </c>
      <c r="F46" s="38"/>
    </row>
    <row r="47">
      <c r="B47" s="36">
        <v>42.0</v>
      </c>
      <c r="C47" s="38"/>
      <c r="D47" s="38"/>
      <c r="E47" s="38" t="s">
        <v>70</v>
      </c>
      <c r="F47" s="38"/>
    </row>
    <row r="48">
      <c r="B48" s="36">
        <v>43.0</v>
      </c>
      <c r="C48" s="38" t="s">
        <v>76</v>
      </c>
      <c r="D48" s="38">
        <v>3.0</v>
      </c>
      <c r="E48" s="38" t="s">
        <v>77</v>
      </c>
      <c r="F48" s="38" t="s">
        <v>78</v>
      </c>
    </row>
    <row r="49">
      <c r="B49" s="36">
        <v>44.0</v>
      </c>
      <c r="C49" s="38" t="s">
        <v>76</v>
      </c>
      <c r="D49" s="38"/>
      <c r="E49" s="38" t="s">
        <v>77</v>
      </c>
      <c r="F49" s="38" t="s">
        <v>79</v>
      </c>
    </row>
    <row r="50">
      <c r="B50" s="36">
        <v>45.0</v>
      </c>
      <c r="C50" s="38" t="s">
        <v>76</v>
      </c>
      <c r="D50" s="38"/>
      <c r="E50" s="38" t="s">
        <v>77</v>
      </c>
      <c r="F50" s="38" t="s">
        <v>80</v>
      </c>
    </row>
    <row r="51">
      <c r="B51" s="36">
        <v>46.0</v>
      </c>
      <c r="C51" s="38" t="s">
        <v>76</v>
      </c>
      <c r="D51" s="38"/>
      <c r="E51" s="38" t="s">
        <v>77</v>
      </c>
      <c r="F51" s="38" t="s">
        <v>81</v>
      </c>
    </row>
    <row r="52">
      <c r="B52" s="36">
        <v>47.0</v>
      </c>
      <c r="C52" s="38" t="s">
        <v>76</v>
      </c>
      <c r="D52" s="38"/>
      <c r="E52" s="38" t="s">
        <v>77</v>
      </c>
      <c r="F52" s="38" t="s">
        <v>82</v>
      </c>
    </row>
    <row r="53">
      <c r="B53" s="36">
        <v>48.0</v>
      </c>
      <c r="C53" s="38"/>
      <c r="D53" s="38"/>
      <c r="E53" s="38" t="s">
        <v>77</v>
      </c>
      <c r="F53" s="38"/>
    </row>
    <row r="54">
      <c r="B54" s="36">
        <v>49.0</v>
      </c>
      <c r="C54" s="38"/>
      <c r="D54" s="38"/>
      <c r="E54" s="38" t="s">
        <v>77</v>
      </c>
      <c r="F54" s="38"/>
    </row>
    <row r="55">
      <c r="B55" s="36">
        <v>50.0</v>
      </c>
      <c r="C55" s="38" t="s">
        <v>76</v>
      </c>
      <c r="D55" s="38">
        <v>4.0</v>
      </c>
      <c r="E55" s="38" t="s">
        <v>83</v>
      </c>
      <c r="F55" s="38" t="s">
        <v>84</v>
      </c>
    </row>
    <row r="56">
      <c r="B56" s="36">
        <v>51.0</v>
      </c>
      <c r="C56" s="38" t="s">
        <v>76</v>
      </c>
      <c r="D56" s="38"/>
      <c r="E56" s="38" t="s">
        <v>83</v>
      </c>
      <c r="F56" s="38" t="s">
        <v>85</v>
      </c>
    </row>
    <row r="57">
      <c r="B57" s="36">
        <v>52.0</v>
      </c>
      <c r="C57" s="38" t="s">
        <v>76</v>
      </c>
      <c r="D57" s="38"/>
      <c r="E57" s="38" t="s">
        <v>83</v>
      </c>
      <c r="F57" s="38" t="s">
        <v>86</v>
      </c>
    </row>
    <row r="58">
      <c r="B58" s="36">
        <v>53.0</v>
      </c>
      <c r="C58" s="38"/>
      <c r="D58" s="38"/>
      <c r="E58" s="38" t="s">
        <v>83</v>
      </c>
      <c r="F58" s="38"/>
    </row>
    <row r="59">
      <c r="B59" s="36">
        <v>54.0</v>
      </c>
      <c r="C59" s="38"/>
      <c r="D59" s="38"/>
      <c r="E59" s="38" t="s">
        <v>83</v>
      </c>
      <c r="F59" s="38"/>
    </row>
    <row r="60">
      <c r="B60" s="36">
        <v>55.0</v>
      </c>
      <c r="C60" s="38"/>
      <c r="D60" s="38"/>
      <c r="E60" s="38" t="s">
        <v>83</v>
      </c>
      <c r="F60" s="38"/>
    </row>
    <row r="61">
      <c r="B61" s="36">
        <v>56.0</v>
      </c>
      <c r="C61" s="38"/>
      <c r="D61" s="38"/>
      <c r="E61" s="38" t="s">
        <v>83</v>
      </c>
      <c r="F61" s="38"/>
    </row>
    <row r="62">
      <c r="B62" s="36">
        <v>57.0</v>
      </c>
      <c r="C62" s="38" t="s">
        <v>76</v>
      </c>
      <c r="D62" s="38">
        <v>5.0</v>
      </c>
      <c r="E62" s="38" t="s">
        <v>87</v>
      </c>
      <c r="F62" s="38" t="s">
        <v>88</v>
      </c>
    </row>
    <row r="63">
      <c r="B63" s="36">
        <v>58.0</v>
      </c>
      <c r="C63" s="38" t="s">
        <v>39</v>
      </c>
      <c r="D63" s="38"/>
      <c r="E63" s="38" t="s">
        <v>87</v>
      </c>
      <c r="F63" s="38" t="s">
        <v>89</v>
      </c>
    </row>
    <row r="64">
      <c r="B64" s="36">
        <v>59.0</v>
      </c>
      <c r="C64" s="38" t="s">
        <v>39</v>
      </c>
      <c r="D64" s="38"/>
      <c r="E64" s="38" t="s">
        <v>87</v>
      </c>
      <c r="F64" s="38" t="s">
        <v>90</v>
      </c>
    </row>
    <row r="65">
      <c r="B65" s="36">
        <v>60.0</v>
      </c>
      <c r="C65" s="38" t="s">
        <v>39</v>
      </c>
      <c r="D65" s="38"/>
      <c r="E65" s="38" t="s">
        <v>87</v>
      </c>
      <c r="F65" s="38" t="s">
        <v>91</v>
      </c>
    </row>
    <row r="66">
      <c r="B66" s="36">
        <v>61.0</v>
      </c>
      <c r="C66" s="38" t="s">
        <v>39</v>
      </c>
      <c r="D66" s="38"/>
      <c r="E66" s="38" t="s">
        <v>87</v>
      </c>
      <c r="F66" s="38" t="s">
        <v>92</v>
      </c>
    </row>
    <row r="67">
      <c r="B67" s="36">
        <v>62.0</v>
      </c>
      <c r="C67" s="38" t="s">
        <v>39</v>
      </c>
      <c r="D67" s="38"/>
      <c r="E67" s="38" t="s">
        <v>87</v>
      </c>
      <c r="F67" s="38"/>
    </row>
    <row r="68">
      <c r="B68" s="36">
        <v>63.0</v>
      </c>
      <c r="C68" s="38"/>
      <c r="D68" s="38"/>
      <c r="E68" s="38" t="s">
        <v>87</v>
      </c>
      <c r="F68" s="38"/>
    </row>
    <row r="69">
      <c r="B69" s="36">
        <v>64.0</v>
      </c>
      <c r="C69" s="38" t="s">
        <v>93</v>
      </c>
      <c r="D69" s="38">
        <v>5.0</v>
      </c>
      <c r="E69" s="38" t="s">
        <v>94</v>
      </c>
      <c r="F69" s="38" t="s">
        <v>95</v>
      </c>
    </row>
    <row r="70">
      <c r="B70" s="36">
        <v>65.0</v>
      </c>
      <c r="C70" s="38" t="s">
        <v>93</v>
      </c>
      <c r="D70" s="38"/>
      <c r="E70" s="38" t="s">
        <v>94</v>
      </c>
      <c r="F70" s="38" t="s">
        <v>96</v>
      </c>
    </row>
    <row r="71">
      <c r="B71" s="36">
        <v>66.0</v>
      </c>
      <c r="C71" s="38" t="s">
        <v>93</v>
      </c>
      <c r="D71" s="38"/>
      <c r="E71" s="38" t="s">
        <v>94</v>
      </c>
      <c r="F71" s="38" t="s">
        <v>97</v>
      </c>
    </row>
    <row r="72">
      <c r="B72" s="36">
        <v>67.0</v>
      </c>
      <c r="C72" s="38" t="s">
        <v>93</v>
      </c>
      <c r="D72" s="38"/>
      <c r="E72" s="38" t="s">
        <v>94</v>
      </c>
      <c r="F72" s="38" t="s">
        <v>98</v>
      </c>
    </row>
    <row r="73">
      <c r="B73" s="36">
        <v>68.0</v>
      </c>
      <c r="C73" s="38"/>
      <c r="D73" s="38"/>
      <c r="E73" s="38" t="s">
        <v>94</v>
      </c>
      <c r="F73" s="38" t="s">
        <v>99</v>
      </c>
    </row>
    <row r="74">
      <c r="B74" s="36">
        <v>69.0</v>
      </c>
      <c r="C74" s="38"/>
      <c r="D74" s="38"/>
      <c r="E74" s="38" t="s">
        <v>94</v>
      </c>
      <c r="F74" s="38" t="s">
        <v>100</v>
      </c>
    </row>
    <row r="75">
      <c r="B75" s="36">
        <v>70.0</v>
      </c>
      <c r="C75" s="38"/>
      <c r="D75" s="38"/>
      <c r="E75" s="38" t="s">
        <v>94</v>
      </c>
      <c r="F75" s="38"/>
    </row>
    <row r="76">
      <c r="B76" s="36">
        <v>71.0</v>
      </c>
      <c r="C76" s="38" t="s">
        <v>101</v>
      </c>
      <c r="D76" s="38">
        <v>5.0</v>
      </c>
      <c r="E76" s="38" t="s">
        <v>102</v>
      </c>
      <c r="F76" s="38" t="s">
        <v>103</v>
      </c>
    </row>
    <row r="77">
      <c r="B77" s="36">
        <v>72.0</v>
      </c>
      <c r="C77" s="38" t="s">
        <v>101</v>
      </c>
      <c r="D77" s="38"/>
      <c r="E77" s="38" t="s">
        <v>102</v>
      </c>
      <c r="F77" s="38" t="s">
        <v>104</v>
      </c>
    </row>
    <row r="78">
      <c r="B78" s="36">
        <v>73.0</v>
      </c>
      <c r="C78" s="38" t="s">
        <v>101</v>
      </c>
      <c r="D78" s="38"/>
      <c r="E78" s="38" t="s">
        <v>102</v>
      </c>
      <c r="F78" s="38" t="s">
        <v>105</v>
      </c>
    </row>
    <row r="79">
      <c r="B79" s="36">
        <v>74.0</v>
      </c>
      <c r="C79" s="38" t="s">
        <v>101</v>
      </c>
      <c r="D79" s="38"/>
      <c r="E79" s="38" t="s">
        <v>102</v>
      </c>
      <c r="F79" s="38"/>
    </row>
    <row r="80">
      <c r="B80" s="36">
        <v>75.0</v>
      </c>
      <c r="C80" s="38"/>
      <c r="D80" s="38"/>
      <c r="E80" s="38" t="s">
        <v>102</v>
      </c>
      <c r="F80" s="38"/>
    </row>
    <row r="81">
      <c r="B81" s="36">
        <v>76.0</v>
      </c>
      <c r="C81" s="38"/>
      <c r="D81" s="38"/>
      <c r="E81" s="38" t="s">
        <v>102</v>
      </c>
      <c r="F81" s="38"/>
    </row>
    <row r="82">
      <c r="B82" s="36">
        <v>77.0</v>
      </c>
      <c r="C82" s="38"/>
      <c r="D82" s="38"/>
      <c r="E82" s="38" t="s">
        <v>102</v>
      </c>
      <c r="F82" s="38"/>
    </row>
    <row r="83">
      <c r="B83" s="36"/>
    </row>
    <row r="84">
      <c r="B84" s="36"/>
    </row>
    <row r="85">
      <c r="B85" s="36"/>
    </row>
    <row r="86">
      <c r="B86" s="36"/>
    </row>
    <row r="87">
      <c r="B87" s="36"/>
    </row>
    <row r="88">
      <c r="B88" s="36"/>
    </row>
    <row r="89">
      <c r="B89" s="36"/>
    </row>
    <row r="90">
      <c r="B90" s="36"/>
    </row>
    <row r="91">
      <c r="B91" s="36"/>
    </row>
    <row r="92">
      <c r="B92" s="36"/>
    </row>
    <row r="93">
      <c r="B93" s="36"/>
    </row>
    <row r="94">
      <c r="B94" s="36"/>
    </row>
    <row r="95">
      <c r="B95" s="36"/>
    </row>
    <row r="96">
      <c r="B96" s="36"/>
    </row>
    <row r="97">
      <c r="B97" s="36"/>
    </row>
    <row r="98">
      <c r="B98" s="36"/>
    </row>
    <row r="99">
      <c r="B99" s="36"/>
    </row>
    <row r="100">
      <c r="B100" s="36"/>
    </row>
    <row r="101">
      <c r="B101" s="36"/>
    </row>
    <row r="102">
      <c r="B102" s="36"/>
    </row>
    <row r="103">
      <c r="B103" s="36"/>
    </row>
    <row r="104">
      <c r="B104" s="36"/>
    </row>
    <row r="105">
      <c r="B105" s="36"/>
    </row>
    <row r="106">
      <c r="B106" s="36"/>
    </row>
    <row r="107">
      <c r="B107" s="36"/>
    </row>
    <row r="108">
      <c r="B108" s="36"/>
    </row>
    <row r="109">
      <c r="B109" s="36"/>
    </row>
    <row r="110">
      <c r="B110" s="36"/>
    </row>
    <row r="111">
      <c r="B111" s="36"/>
    </row>
    <row r="112">
      <c r="B112" s="36"/>
    </row>
    <row r="113">
      <c r="B113" s="36"/>
    </row>
    <row r="114">
      <c r="B114" s="36"/>
    </row>
    <row r="115">
      <c r="B115" s="36"/>
    </row>
    <row r="116">
      <c r="B116" s="36"/>
    </row>
    <row r="117">
      <c r="B117" s="36"/>
    </row>
    <row r="118">
      <c r="B118" s="36"/>
    </row>
    <row r="119">
      <c r="B119" s="36"/>
    </row>
    <row r="120">
      <c r="B120" s="36"/>
    </row>
    <row r="121">
      <c r="B121" s="36"/>
    </row>
    <row r="122">
      <c r="B122" s="36"/>
    </row>
    <row r="123">
      <c r="B123" s="36"/>
    </row>
    <row r="124">
      <c r="B124" s="36"/>
    </row>
    <row r="125">
      <c r="B125" s="36"/>
    </row>
    <row r="126">
      <c r="B126" s="36"/>
    </row>
    <row r="127">
      <c r="B127" s="36"/>
    </row>
    <row r="128">
      <c r="B128" s="36"/>
    </row>
    <row r="129">
      <c r="B129" s="36"/>
    </row>
    <row r="130">
      <c r="B130" s="36"/>
    </row>
    <row r="131">
      <c r="B131" s="36"/>
    </row>
    <row r="132">
      <c r="B132" s="36"/>
    </row>
    <row r="133">
      <c r="B133" s="36"/>
    </row>
    <row r="134">
      <c r="B134" s="36"/>
    </row>
    <row r="135">
      <c r="B135" s="36"/>
    </row>
    <row r="136">
      <c r="B136" s="36"/>
    </row>
    <row r="137">
      <c r="B137" s="36"/>
    </row>
    <row r="138">
      <c r="B138" s="36"/>
    </row>
    <row r="139">
      <c r="B139" s="36"/>
    </row>
    <row r="140">
      <c r="B140" s="36"/>
    </row>
    <row r="141">
      <c r="B141" s="36"/>
    </row>
    <row r="142">
      <c r="B142" s="36"/>
    </row>
    <row r="143">
      <c r="B143" s="36"/>
    </row>
    <row r="144">
      <c r="B144" s="36"/>
    </row>
    <row r="145">
      <c r="B145" s="36"/>
    </row>
    <row r="146">
      <c r="B146" s="36"/>
    </row>
    <row r="147">
      <c r="B147" s="36"/>
    </row>
    <row r="148">
      <c r="B148" s="36"/>
    </row>
    <row r="149">
      <c r="B149" s="36"/>
    </row>
    <row r="150">
      <c r="B150" s="36"/>
    </row>
    <row r="151">
      <c r="B151" s="36"/>
    </row>
    <row r="152">
      <c r="B152" s="36"/>
    </row>
    <row r="153">
      <c r="B153" s="36"/>
    </row>
    <row r="154">
      <c r="B154" s="36"/>
    </row>
    <row r="155">
      <c r="B155" s="36"/>
    </row>
    <row r="156">
      <c r="B156" s="36"/>
    </row>
    <row r="157">
      <c r="B157" s="36"/>
    </row>
    <row r="158">
      <c r="B158" s="36"/>
    </row>
    <row r="159">
      <c r="B159" s="36"/>
    </row>
    <row r="160">
      <c r="B160" s="36"/>
    </row>
    <row r="161">
      <c r="B161" s="36"/>
    </row>
    <row r="162">
      <c r="B162" s="36"/>
    </row>
    <row r="163">
      <c r="B163" s="36"/>
    </row>
    <row r="164">
      <c r="B164" s="36"/>
    </row>
    <row r="165">
      <c r="B165" s="36"/>
    </row>
    <row r="166">
      <c r="B166" s="36"/>
    </row>
    <row r="167">
      <c r="B167" s="36"/>
    </row>
    <row r="168">
      <c r="B168" s="36"/>
    </row>
    <row r="169">
      <c r="B169" s="36"/>
    </row>
    <row r="170">
      <c r="B170" s="36"/>
    </row>
    <row r="171">
      <c r="B171" s="36"/>
    </row>
    <row r="172">
      <c r="B172" s="36"/>
    </row>
    <row r="173">
      <c r="B173" s="36"/>
    </row>
    <row r="174">
      <c r="B174" s="36"/>
    </row>
    <row r="175">
      <c r="B175" s="36"/>
    </row>
    <row r="176">
      <c r="B176" s="36"/>
    </row>
    <row r="177">
      <c r="B177" s="36"/>
    </row>
    <row r="178">
      <c r="B178" s="36"/>
    </row>
    <row r="179">
      <c r="B179" s="36"/>
    </row>
    <row r="180">
      <c r="B180" s="36"/>
    </row>
    <row r="181">
      <c r="B181" s="36"/>
    </row>
    <row r="182">
      <c r="B182" s="36"/>
    </row>
    <row r="183">
      <c r="B183" s="36"/>
    </row>
    <row r="184">
      <c r="B184" s="36"/>
    </row>
    <row r="185">
      <c r="B185" s="36"/>
    </row>
    <row r="186">
      <c r="B186" s="36"/>
    </row>
    <row r="187">
      <c r="B187" s="36"/>
    </row>
    <row r="188">
      <c r="B188" s="36"/>
    </row>
    <row r="189">
      <c r="B189" s="36"/>
    </row>
    <row r="190">
      <c r="B190" s="36"/>
    </row>
    <row r="191">
      <c r="B191" s="36"/>
    </row>
    <row r="192">
      <c r="B192" s="36"/>
    </row>
    <row r="193">
      <c r="B193" s="36"/>
    </row>
    <row r="194">
      <c r="B194" s="36"/>
    </row>
    <row r="195">
      <c r="B195" s="36"/>
    </row>
    <row r="196">
      <c r="B196" s="36"/>
    </row>
    <row r="197">
      <c r="B197" s="36"/>
    </row>
    <row r="198">
      <c r="B198" s="36"/>
    </row>
    <row r="199">
      <c r="B199" s="36"/>
    </row>
    <row r="200">
      <c r="B200" s="36"/>
    </row>
    <row r="201">
      <c r="B201" s="36"/>
    </row>
    <row r="202">
      <c r="B202" s="36"/>
    </row>
    <row r="203">
      <c r="B203" s="36"/>
    </row>
    <row r="204">
      <c r="B204" s="36"/>
    </row>
    <row r="205">
      <c r="B205" s="36"/>
    </row>
    <row r="206">
      <c r="B206" s="36"/>
    </row>
    <row r="207">
      <c r="B207" s="36"/>
    </row>
    <row r="208">
      <c r="B208" s="36"/>
    </row>
    <row r="209">
      <c r="B209" s="36"/>
    </row>
    <row r="210">
      <c r="B210" s="36"/>
    </row>
    <row r="211">
      <c r="B211" s="36"/>
    </row>
    <row r="212">
      <c r="B212" s="36"/>
    </row>
    <row r="213">
      <c r="B213" s="36"/>
    </row>
    <row r="214">
      <c r="B214" s="36"/>
    </row>
    <row r="215">
      <c r="B215" s="36"/>
    </row>
    <row r="216">
      <c r="B216" s="36"/>
    </row>
    <row r="217">
      <c r="B217" s="36"/>
    </row>
    <row r="218">
      <c r="B218" s="36"/>
    </row>
    <row r="219">
      <c r="B219" s="36"/>
    </row>
    <row r="220">
      <c r="B220" s="36"/>
    </row>
    <row r="221">
      <c r="B221" s="36"/>
    </row>
    <row r="222">
      <c r="B222" s="36"/>
    </row>
    <row r="223">
      <c r="B223" s="36"/>
    </row>
    <row r="224">
      <c r="B224" s="36"/>
    </row>
    <row r="225">
      <c r="B225" s="36"/>
    </row>
    <row r="226">
      <c r="B226" s="36"/>
    </row>
    <row r="227">
      <c r="B227" s="36"/>
    </row>
    <row r="228">
      <c r="B228" s="36"/>
    </row>
    <row r="229">
      <c r="B229" s="36"/>
    </row>
    <row r="230">
      <c r="B230" s="36"/>
    </row>
    <row r="231">
      <c r="B231" s="36"/>
    </row>
    <row r="232">
      <c r="B232" s="36"/>
    </row>
    <row r="233">
      <c r="B233" s="36"/>
    </row>
    <row r="234">
      <c r="B234" s="36"/>
    </row>
    <row r="235">
      <c r="B235" s="36"/>
    </row>
    <row r="236">
      <c r="B236" s="36"/>
    </row>
    <row r="237">
      <c r="B237" s="36"/>
    </row>
    <row r="238">
      <c r="B238" s="36"/>
    </row>
    <row r="239">
      <c r="B239" s="36"/>
    </row>
    <row r="240">
      <c r="B240" s="36"/>
    </row>
    <row r="241">
      <c r="B241" s="36"/>
    </row>
    <row r="242">
      <c r="B242" s="36"/>
    </row>
    <row r="243">
      <c r="B243" s="36"/>
    </row>
    <row r="244">
      <c r="B244" s="36"/>
    </row>
    <row r="245">
      <c r="B245" s="36"/>
    </row>
    <row r="246">
      <c r="B246" s="36"/>
    </row>
    <row r="247">
      <c r="B247" s="36"/>
    </row>
    <row r="248">
      <c r="B248" s="36"/>
    </row>
    <row r="249">
      <c r="B249" s="36"/>
    </row>
    <row r="250">
      <c r="B250" s="36"/>
    </row>
    <row r="251">
      <c r="B251" s="36"/>
    </row>
    <row r="252">
      <c r="B252" s="36"/>
    </row>
    <row r="253">
      <c r="B253" s="36"/>
    </row>
    <row r="254">
      <c r="B254" s="36"/>
    </row>
    <row r="255">
      <c r="B255" s="36"/>
    </row>
    <row r="256">
      <c r="B256" s="36"/>
    </row>
    <row r="257">
      <c r="B257" s="36"/>
    </row>
    <row r="258">
      <c r="B258" s="36"/>
    </row>
    <row r="259">
      <c r="B259" s="36"/>
    </row>
    <row r="260">
      <c r="B260" s="36"/>
    </row>
    <row r="261">
      <c r="B261" s="36"/>
    </row>
    <row r="262">
      <c r="B262" s="36"/>
    </row>
    <row r="263">
      <c r="B263" s="36"/>
    </row>
    <row r="264">
      <c r="B264" s="36"/>
    </row>
    <row r="265">
      <c r="B265" s="36"/>
    </row>
    <row r="266">
      <c r="B266" s="36"/>
    </row>
    <row r="267">
      <c r="B267" s="36"/>
    </row>
    <row r="268">
      <c r="B268" s="36"/>
    </row>
    <row r="269">
      <c r="B269" s="36"/>
    </row>
    <row r="270">
      <c r="B270" s="36"/>
    </row>
    <row r="271">
      <c r="B271" s="36"/>
    </row>
    <row r="272">
      <c r="B272" s="36"/>
    </row>
    <row r="273">
      <c r="B273" s="36"/>
    </row>
    <row r="274">
      <c r="B274" s="36"/>
    </row>
    <row r="275">
      <c r="B275" s="36"/>
    </row>
    <row r="276">
      <c r="B276" s="36"/>
    </row>
    <row r="277">
      <c r="B277" s="36"/>
    </row>
    <row r="278">
      <c r="B278" s="36"/>
    </row>
    <row r="279">
      <c r="B279" s="36"/>
    </row>
    <row r="280">
      <c r="B280" s="36"/>
    </row>
    <row r="281">
      <c r="B281" s="36"/>
    </row>
    <row r="282">
      <c r="B282" s="36"/>
    </row>
    <row r="283">
      <c r="B283" s="36"/>
    </row>
    <row r="284">
      <c r="B284" s="36"/>
    </row>
    <row r="285">
      <c r="B285" s="36"/>
    </row>
    <row r="286">
      <c r="B286" s="36"/>
    </row>
    <row r="287">
      <c r="B287" s="36"/>
    </row>
    <row r="288">
      <c r="B288" s="36"/>
    </row>
    <row r="289">
      <c r="B289" s="36"/>
    </row>
    <row r="290">
      <c r="B290" s="36"/>
    </row>
    <row r="291">
      <c r="B291" s="36"/>
    </row>
    <row r="292">
      <c r="B292" s="36"/>
    </row>
    <row r="293">
      <c r="B293" s="36"/>
    </row>
    <row r="294">
      <c r="B294" s="36"/>
    </row>
    <row r="295">
      <c r="B295" s="36"/>
    </row>
    <row r="296">
      <c r="B296" s="36"/>
    </row>
    <row r="297">
      <c r="B297" s="36"/>
    </row>
    <row r="298">
      <c r="B298" s="36"/>
    </row>
    <row r="299">
      <c r="B299" s="36"/>
    </row>
    <row r="300">
      <c r="B300" s="36"/>
    </row>
    <row r="301">
      <c r="B301" s="36"/>
    </row>
    <row r="302">
      <c r="B302" s="36"/>
    </row>
    <row r="303">
      <c r="B303" s="36"/>
    </row>
    <row r="304">
      <c r="B304" s="36"/>
    </row>
    <row r="305">
      <c r="B305" s="36"/>
    </row>
    <row r="306">
      <c r="B306" s="36"/>
    </row>
    <row r="307">
      <c r="B307" s="36"/>
    </row>
    <row r="308">
      <c r="B308" s="36"/>
    </row>
    <row r="309">
      <c r="B309" s="36"/>
    </row>
    <row r="310">
      <c r="B310" s="36"/>
    </row>
    <row r="311">
      <c r="B311" s="36"/>
    </row>
    <row r="312">
      <c r="B312" s="36"/>
    </row>
    <row r="313">
      <c r="B313" s="36"/>
    </row>
    <row r="314">
      <c r="B314" s="36"/>
    </row>
    <row r="315">
      <c r="B315" s="36"/>
    </row>
    <row r="316">
      <c r="B316" s="36"/>
    </row>
    <row r="317">
      <c r="B317" s="36"/>
    </row>
    <row r="318">
      <c r="B318" s="36"/>
    </row>
    <row r="319">
      <c r="B319" s="36"/>
    </row>
    <row r="320">
      <c r="B320" s="36"/>
    </row>
    <row r="321">
      <c r="B321" s="36"/>
    </row>
    <row r="322">
      <c r="B322" s="36"/>
    </row>
    <row r="323">
      <c r="B323" s="36"/>
    </row>
    <row r="324">
      <c r="B324" s="36"/>
    </row>
    <row r="325">
      <c r="B325" s="36"/>
    </row>
    <row r="326">
      <c r="B326" s="36"/>
    </row>
    <row r="327">
      <c r="B327" s="36"/>
    </row>
    <row r="328">
      <c r="B328" s="36"/>
    </row>
    <row r="329">
      <c r="B329" s="36"/>
    </row>
    <row r="330">
      <c r="B330" s="36"/>
    </row>
    <row r="331">
      <c r="B331" s="36"/>
    </row>
    <row r="332">
      <c r="B332" s="36"/>
    </row>
    <row r="333">
      <c r="B333" s="36"/>
    </row>
    <row r="334">
      <c r="B334" s="36"/>
    </row>
    <row r="335">
      <c r="B335" s="36"/>
    </row>
    <row r="336">
      <c r="B336" s="36"/>
    </row>
    <row r="337">
      <c r="B337" s="36"/>
    </row>
    <row r="338">
      <c r="B338" s="36"/>
    </row>
    <row r="339">
      <c r="B339" s="36"/>
    </row>
    <row r="340">
      <c r="B340" s="36"/>
    </row>
    <row r="341">
      <c r="B341" s="36"/>
    </row>
    <row r="342">
      <c r="B342" s="36"/>
    </row>
    <row r="343">
      <c r="B343" s="36"/>
    </row>
    <row r="344">
      <c r="B344" s="36"/>
    </row>
    <row r="345">
      <c r="B345" s="36"/>
    </row>
    <row r="346">
      <c r="B346" s="36"/>
    </row>
    <row r="347">
      <c r="B347" s="36"/>
    </row>
    <row r="348">
      <c r="B348" s="36"/>
    </row>
    <row r="349">
      <c r="B349" s="36"/>
    </row>
    <row r="350">
      <c r="B350" s="36"/>
    </row>
    <row r="351">
      <c r="B351" s="36"/>
    </row>
    <row r="352">
      <c r="B352" s="36"/>
    </row>
    <row r="353">
      <c r="B353" s="36"/>
    </row>
    <row r="354">
      <c r="B354" s="36"/>
    </row>
    <row r="355">
      <c r="B355" s="36"/>
    </row>
    <row r="356">
      <c r="B356" s="36"/>
    </row>
    <row r="357">
      <c r="B357" s="36"/>
    </row>
    <row r="358">
      <c r="B358" s="36"/>
    </row>
    <row r="359">
      <c r="B359" s="36"/>
    </row>
    <row r="360">
      <c r="B360" s="36"/>
    </row>
    <row r="361">
      <c r="B361" s="36"/>
    </row>
    <row r="362">
      <c r="B362" s="36"/>
    </row>
    <row r="363">
      <c r="B363" s="36"/>
    </row>
    <row r="364">
      <c r="B364" s="36"/>
    </row>
    <row r="365">
      <c r="B365" s="36"/>
    </row>
    <row r="366">
      <c r="B366" s="36"/>
    </row>
    <row r="367">
      <c r="B367" s="36"/>
    </row>
    <row r="368">
      <c r="B368" s="36"/>
    </row>
    <row r="369">
      <c r="B369" s="36"/>
    </row>
    <row r="370">
      <c r="B370" s="36"/>
    </row>
    <row r="371">
      <c r="B371" s="36"/>
    </row>
    <row r="372">
      <c r="B372" s="36"/>
    </row>
    <row r="373">
      <c r="B373" s="36"/>
    </row>
    <row r="374">
      <c r="B374" s="36"/>
    </row>
    <row r="375">
      <c r="B375" s="36"/>
    </row>
    <row r="376">
      <c r="B376" s="36"/>
    </row>
    <row r="377">
      <c r="B377" s="36"/>
    </row>
    <row r="378">
      <c r="B378" s="36"/>
    </row>
    <row r="379">
      <c r="B379" s="36"/>
    </row>
    <row r="380">
      <c r="B380" s="36"/>
    </row>
    <row r="381">
      <c r="B381" s="36"/>
    </row>
    <row r="382">
      <c r="B382" s="36"/>
    </row>
    <row r="383">
      <c r="B383" s="36"/>
    </row>
    <row r="384">
      <c r="B384" s="36"/>
    </row>
    <row r="385">
      <c r="B385" s="36"/>
    </row>
    <row r="386">
      <c r="B386" s="36"/>
    </row>
    <row r="387">
      <c r="B387" s="36"/>
    </row>
    <row r="388">
      <c r="B388" s="36"/>
    </row>
    <row r="389">
      <c r="B389" s="36"/>
    </row>
    <row r="390">
      <c r="B390" s="36"/>
    </row>
    <row r="391">
      <c r="B391" s="36"/>
    </row>
    <row r="392">
      <c r="B392" s="36"/>
    </row>
    <row r="393">
      <c r="B393" s="36"/>
    </row>
    <row r="394">
      <c r="B394" s="36"/>
    </row>
    <row r="395">
      <c r="B395" s="36"/>
    </row>
    <row r="396">
      <c r="B396" s="36"/>
    </row>
    <row r="397">
      <c r="B397" s="36"/>
    </row>
    <row r="398">
      <c r="B398" s="36"/>
    </row>
    <row r="399">
      <c r="B399" s="36"/>
    </row>
    <row r="400">
      <c r="B400" s="36"/>
    </row>
    <row r="401">
      <c r="B401" s="36"/>
    </row>
    <row r="402">
      <c r="B402" s="36"/>
    </row>
    <row r="403">
      <c r="B403" s="36"/>
    </row>
    <row r="404">
      <c r="B404" s="36"/>
    </row>
    <row r="405">
      <c r="B405" s="36"/>
    </row>
    <row r="406">
      <c r="B406" s="36"/>
    </row>
    <row r="407">
      <c r="B407" s="36"/>
    </row>
    <row r="408">
      <c r="B408" s="36"/>
    </row>
    <row r="409">
      <c r="B409" s="36"/>
    </row>
    <row r="410">
      <c r="B410" s="36"/>
    </row>
    <row r="411">
      <c r="B411" s="36"/>
    </row>
    <row r="412">
      <c r="B412" s="36"/>
    </row>
    <row r="413">
      <c r="B413" s="36"/>
    </row>
    <row r="414">
      <c r="B414" s="36"/>
    </row>
    <row r="415">
      <c r="B415" s="36"/>
    </row>
    <row r="416">
      <c r="B416" s="36"/>
    </row>
    <row r="417">
      <c r="B417" s="36"/>
    </row>
    <row r="418">
      <c r="B418" s="36"/>
    </row>
    <row r="419">
      <c r="B419" s="36"/>
    </row>
    <row r="420">
      <c r="B420" s="36"/>
    </row>
    <row r="421">
      <c r="B421" s="36"/>
    </row>
    <row r="422">
      <c r="B422" s="36"/>
    </row>
    <row r="423">
      <c r="B423" s="36"/>
    </row>
    <row r="424">
      <c r="B424" s="36"/>
    </row>
    <row r="425">
      <c r="B425" s="36"/>
    </row>
    <row r="426">
      <c r="B426" s="36"/>
    </row>
    <row r="427">
      <c r="B427" s="36"/>
    </row>
    <row r="428">
      <c r="B428" s="36"/>
    </row>
    <row r="429">
      <c r="B429" s="36"/>
    </row>
    <row r="430">
      <c r="B430" s="36"/>
    </row>
    <row r="431">
      <c r="B431" s="36"/>
    </row>
    <row r="432">
      <c r="B432" s="36"/>
    </row>
    <row r="433">
      <c r="B433" s="36"/>
    </row>
    <row r="434">
      <c r="B434" s="36"/>
    </row>
    <row r="435">
      <c r="B435" s="36"/>
    </row>
    <row r="436">
      <c r="B436" s="36"/>
    </row>
    <row r="437">
      <c r="B437" s="36"/>
    </row>
    <row r="438">
      <c r="B438" s="36"/>
    </row>
    <row r="439">
      <c r="B439" s="36"/>
    </row>
    <row r="440">
      <c r="B440" s="36"/>
    </row>
    <row r="441">
      <c r="B441" s="36"/>
    </row>
    <row r="442">
      <c r="B442" s="36"/>
    </row>
    <row r="443">
      <c r="B443" s="36"/>
    </row>
    <row r="444">
      <c r="B444" s="36"/>
    </row>
    <row r="445">
      <c r="B445" s="36"/>
    </row>
    <row r="446">
      <c r="B446" s="36"/>
    </row>
    <row r="447">
      <c r="B447" s="36"/>
    </row>
    <row r="448">
      <c r="B448" s="36"/>
    </row>
    <row r="449">
      <c r="B449" s="36"/>
    </row>
    <row r="450">
      <c r="B450" s="36"/>
    </row>
    <row r="451">
      <c r="B451" s="36"/>
    </row>
    <row r="452">
      <c r="B452" s="36"/>
    </row>
    <row r="453">
      <c r="B453" s="36"/>
    </row>
    <row r="454">
      <c r="B454" s="36"/>
    </row>
    <row r="455">
      <c r="B455" s="36"/>
    </row>
    <row r="456">
      <c r="B456" s="36"/>
    </row>
    <row r="457">
      <c r="B457" s="36"/>
    </row>
    <row r="458">
      <c r="B458" s="36"/>
    </row>
    <row r="459">
      <c r="B459" s="36"/>
    </row>
    <row r="460">
      <c r="B460" s="36"/>
    </row>
    <row r="461">
      <c r="B461" s="36"/>
    </row>
    <row r="462">
      <c r="B462" s="36"/>
    </row>
    <row r="463">
      <c r="B463" s="36"/>
    </row>
    <row r="464">
      <c r="B464" s="36"/>
    </row>
    <row r="465">
      <c r="B465" s="36"/>
    </row>
    <row r="466">
      <c r="B466" s="36"/>
    </row>
    <row r="467">
      <c r="B467" s="36"/>
    </row>
    <row r="468">
      <c r="B468" s="36"/>
    </row>
    <row r="469">
      <c r="B469" s="36"/>
    </row>
    <row r="470">
      <c r="B470" s="36"/>
    </row>
    <row r="471">
      <c r="B471" s="36"/>
    </row>
    <row r="472">
      <c r="B472" s="36"/>
    </row>
    <row r="473">
      <c r="B473" s="36"/>
    </row>
    <row r="474">
      <c r="B474" s="36"/>
    </row>
    <row r="475">
      <c r="B475" s="36"/>
    </row>
    <row r="476">
      <c r="B476" s="36"/>
    </row>
    <row r="477">
      <c r="B477" s="36"/>
    </row>
    <row r="478">
      <c r="B478" s="36"/>
    </row>
    <row r="479">
      <c r="B479" s="36"/>
    </row>
    <row r="480">
      <c r="B480" s="36"/>
    </row>
    <row r="481">
      <c r="B481" s="36"/>
    </row>
    <row r="482">
      <c r="B482" s="36"/>
    </row>
    <row r="483">
      <c r="B483" s="36"/>
    </row>
    <row r="484">
      <c r="B484" s="36"/>
    </row>
    <row r="485">
      <c r="B485" s="36"/>
    </row>
    <row r="486">
      <c r="B486" s="36"/>
    </row>
    <row r="487">
      <c r="B487" s="36"/>
    </row>
    <row r="488">
      <c r="B488" s="36"/>
    </row>
    <row r="489">
      <c r="B489" s="36"/>
    </row>
    <row r="490">
      <c r="B490" s="36"/>
    </row>
    <row r="491">
      <c r="B491" s="36"/>
    </row>
    <row r="492">
      <c r="B492" s="36"/>
    </row>
    <row r="493">
      <c r="B493" s="36"/>
    </row>
    <row r="494">
      <c r="B494" s="36"/>
    </row>
    <row r="495">
      <c r="B495" s="36"/>
    </row>
    <row r="496">
      <c r="B496" s="36"/>
    </row>
    <row r="497">
      <c r="B497" s="36"/>
    </row>
    <row r="498">
      <c r="B498" s="36"/>
    </row>
    <row r="499">
      <c r="B499" s="36"/>
    </row>
    <row r="500">
      <c r="B500" s="36"/>
    </row>
    <row r="501">
      <c r="B501" s="36"/>
    </row>
    <row r="502">
      <c r="B502" s="36"/>
    </row>
    <row r="503">
      <c r="B503" s="36"/>
    </row>
    <row r="504">
      <c r="B504" s="36"/>
    </row>
    <row r="505">
      <c r="B505" s="36"/>
    </row>
    <row r="506">
      <c r="B506" s="36"/>
    </row>
    <row r="507">
      <c r="B507" s="36"/>
    </row>
    <row r="508">
      <c r="B508" s="36"/>
    </row>
    <row r="509">
      <c r="B509" s="36"/>
    </row>
    <row r="510">
      <c r="B510" s="36"/>
    </row>
    <row r="511">
      <c r="B511" s="36"/>
    </row>
    <row r="512">
      <c r="B512" s="36"/>
    </row>
    <row r="513">
      <c r="B513" s="36"/>
    </row>
    <row r="514">
      <c r="B514" s="36"/>
    </row>
    <row r="515">
      <c r="B515" s="36"/>
    </row>
    <row r="516">
      <c r="B516" s="36"/>
    </row>
    <row r="517">
      <c r="B517" s="36"/>
    </row>
    <row r="518">
      <c r="B518" s="36"/>
    </row>
    <row r="519">
      <c r="B519" s="36"/>
    </row>
    <row r="520">
      <c r="B520" s="36"/>
    </row>
    <row r="521">
      <c r="B521" s="36"/>
    </row>
    <row r="522">
      <c r="B522" s="36"/>
    </row>
    <row r="523">
      <c r="B523" s="36"/>
    </row>
    <row r="524">
      <c r="B524" s="36"/>
    </row>
    <row r="525">
      <c r="B525" s="36"/>
    </row>
    <row r="526">
      <c r="B526" s="36"/>
    </row>
    <row r="527">
      <c r="B527" s="36"/>
    </row>
    <row r="528">
      <c r="B528" s="36"/>
    </row>
    <row r="529">
      <c r="B529" s="36"/>
    </row>
    <row r="530">
      <c r="B530" s="36"/>
    </row>
    <row r="531">
      <c r="B531" s="36"/>
    </row>
    <row r="532">
      <c r="B532" s="36"/>
    </row>
    <row r="533">
      <c r="B533" s="36"/>
    </row>
    <row r="534">
      <c r="B534" s="36"/>
    </row>
    <row r="535">
      <c r="B535" s="36"/>
    </row>
    <row r="536">
      <c r="B536" s="36"/>
    </row>
    <row r="537">
      <c r="B537" s="36"/>
    </row>
    <row r="538">
      <c r="B538" s="36"/>
    </row>
    <row r="539">
      <c r="B539" s="36"/>
    </row>
    <row r="540">
      <c r="B540" s="36"/>
    </row>
    <row r="541">
      <c r="B541" s="36"/>
    </row>
    <row r="542">
      <c r="B542" s="36"/>
    </row>
    <row r="543">
      <c r="B543" s="36"/>
    </row>
    <row r="544">
      <c r="B544" s="36"/>
    </row>
    <row r="545">
      <c r="B545" s="36"/>
    </row>
    <row r="546">
      <c r="B546" s="36"/>
    </row>
    <row r="547">
      <c r="B547" s="36"/>
    </row>
    <row r="548">
      <c r="B548" s="36"/>
    </row>
    <row r="549">
      <c r="B549" s="36"/>
    </row>
    <row r="550">
      <c r="B550" s="36"/>
    </row>
    <row r="551">
      <c r="B551" s="36"/>
    </row>
    <row r="552">
      <c r="B552" s="36"/>
    </row>
    <row r="553">
      <c r="B553" s="36"/>
    </row>
    <row r="554">
      <c r="B554" s="36"/>
    </row>
    <row r="555">
      <c r="B555" s="36"/>
    </row>
    <row r="556">
      <c r="B556" s="36"/>
    </row>
    <row r="557">
      <c r="B557" s="36"/>
    </row>
    <row r="558">
      <c r="B558" s="36"/>
    </row>
    <row r="559">
      <c r="B559" s="36"/>
    </row>
    <row r="560">
      <c r="B560" s="36"/>
    </row>
    <row r="561">
      <c r="B561" s="36"/>
    </row>
    <row r="562">
      <c r="B562" s="36"/>
    </row>
    <row r="563">
      <c r="B563" s="36"/>
    </row>
    <row r="564">
      <c r="B564" s="36"/>
    </row>
    <row r="565">
      <c r="B565" s="36"/>
    </row>
    <row r="566">
      <c r="B566" s="36"/>
    </row>
    <row r="567">
      <c r="B567" s="36"/>
    </row>
    <row r="568">
      <c r="B568" s="36"/>
    </row>
    <row r="569">
      <c r="B569" s="36"/>
    </row>
    <row r="570">
      <c r="B570" s="36"/>
    </row>
    <row r="571">
      <c r="B571" s="36"/>
    </row>
    <row r="572">
      <c r="B572" s="36"/>
    </row>
    <row r="573">
      <c r="B573" s="36"/>
    </row>
    <row r="574">
      <c r="B574" s="36"/>
    </row>
    <row r="575">
      <c r="B575" s="36"/>
    </row>
    <row r="576">
      <c r="B576" s="36"/>
    </row>
    <row r="577">
      <c r="B577" s="36"/>
    </row>
    <row r="578">
      <c r="B578" s="36"/>
    </row>
    <row r="579">
      <c r="B579" s="36"/>
    </row>
    <row r="580">
      <c r="B580" s="36"/>
    </row>
    <row r="581">
      <c r="B581" s="36"/>
    </row>
    <row r="582">
      <c r="B582" s="36"/>
    </row>
    <row r="583">
      <c r="B583" s="36"/>
    </row>
    <row r="584">
      <c r="B584" s="36"/>
    </row>
    <row r="585">
      <c r="B585" s="36"/>
    </row>
    <row r="586">
      <c r="B586" s="36"/>
    </row>
    <row r="587">
      <c r="B587" s="36"/>
    </row>
    <row r="588">
      <c r="B588" s="36"/>
    </row>
    <row r="589">
      <c r="B589" s="36"/>
    </row>
    <row r="590">
      <c r="B590" s="36"/>
    </row>
    <row r="591">
      <c r="B591" s="36"/>
    </row>
    <row r="592">
      <c r="B592" s="36"/>
    </row>
    <row r="593">
      <c r="B593" s="36"/>
    </row>
    <row r="594">
      <c r="B594" s="36"/>
    </row>
    <row r="595">
      <c r="B595" s="36"/>
    </row>
    <row r="596">
      <c r="B596" s="36"/>
    </row>
    <row r="597">
      <c r="B597" s="36"/>
    </row>
    <row r="598">
      <c r="B598" s="36"/>
    </row>
    <row r="599">
      <c r="B599" s="36"/>
    </row>
    <row r="600">
      <c r="B600" s="36"/>
    </row>
    <row r="601">
      <c r="B601" s="36"/>
    </row>
    <row r="602">
      <c r="B602" s="36"/>
    </row>
    <row r="603">
      <c r="B603" s="36"/>
    </row>
    <row r="604">
      <c r="B604" s="36"/>
    </row>
    <row r="605">
      <c r="B605" s="36"/>
    </row>
    <row r="606">
      <c r="B606" s="36"/>
    </row>
    <row r="607">
      <c r="B607" s="36"/>
    </row>
    <row r="608">
      <c r="B608" s="36"/>
    </row>
    <row r="609">
      <c r="B609" s="36"/>
    </row>
    <row r="610">
      <c r="B610" s="36"/>
    </row>
    <row r="611">
      <c r="B611" s="36"/>
    </row>
    <row r="612">
      <c r="B612" s="36"/>
    </row>
    <row r="613">
      <c r="B613" s="36"/>
    </row>
    <row r="614">
      <c r="B614" s="36"/>
    </row>
    <row r="615">
      <c r="B615" s="36"/>
    </row>
    <row r="616">
      <c r="B616" s="36"/>
    </row>
    <row r="617">
      <c r="B617" s="36"/>
    </row>
    <row r="618">
      <c r="B618" s="36"/>
    </row>
    <row r="619">
      <c r="B619" s="36"/>
    </row>
    <row r="620">
      <c r="B620" s="36"/>
    </row>
    <row r="621">
      <c r="B621" s="36"/>
    </row>
    <row r="622">
      <c r="B622" s="36"/>
    </row>
    <row r="623">
      <c r="B623" s="36"/>
    </row>
    <row r="624">
      <c r="B624" s="36"/>
    </row>
    <row r="625">
      <c r="B625" s="36"/>
    </row>
    <row r="626">
      <c r="B626" s="36"/>
    </row>
    <row r="627">
      <c r="B627" s="36"/>
    </row>
    <row r="628">
      <c r="B628" s="36"/>
    </row>
    <row r="629">
      <c r="B629" s="36"/>
    </row>
    <row r="630">
      <c r="B630" s="36"/>
    </row>
    <row r="631">
      <c r="B631" s="36"/>
    </row>
    <row r="632">
      <c r="B632" s="36"/>
    </row>
    <row r="633">
      <c r="B633" s="36"/>
    </row>
    <row r="634">
      <c r="B634" s="36"/>
    </row>
    <row r="635">
      <c r="B635" s="36"/>
    </row>
    <row r="636">
      <c r="B636" s="36"/>
    </row>
    <row r="637">
      <c r="B637" s="36"/>
    </row>
    <row r="638">
      <c r="B638" s="36"/>
    </row>
    <row r="639">
      <c r="B639" s="36"/>
    </row>
    <row r="640">
      <c r="B640" s="36"/>
    </row>
    <row r="641">
      <c r="B641" s="36"/>
    </row>
    <row r="642">
      <c r="B642" s="36"/>
    </row>
    <row r="643">
      <c r="B643" s="36"/>
    </row>
    <row r="644">
      <c r="B644" s="36"/>
    </row>
    <row r="645">
      <c r="B645" s="36"/>
    </row>
    <row r="646">
      <c r="B646" s="36"/>
    </row>
    <row r="647">
      <c r="B647" s="36"/>
    </row>
    <row r="648">
      <c r="B648" s="36"/>
    </row>
    <row r="649">
      <c r="B649" s="36"/>
    </row>
    <row r="650">
      <c r="B650" s="36"/>
    </row>
    <row r="651">
      <c r="B651" s="36"/>
    </row>
    <row r="652">
      <c r="B652" s="36"/>
    </row>
    <row r="653">
      <c r="B653" s="36"/>
    </row>
    <row r="654">
      <c r="B654" s="36"/>
    </row>
    <row r="655">
      <c r="B655" s="36"/>
    </row>
    <row r="656">
      <c r="B656" s="36"/>
    </row>
    <row r="657">
      <c r="B657" s="36"/>
    </row>
    <row r="658">
      <c r="B658" s="36"/>
    </row>
    <row r="659">
      <c r="B659" s="36"/>
    </row>
    <row r="660">
      <c r="B660" s="36"/>
    </row>
    <row r="661">
      <c r="B661" s="36"/>
    </row>
    <row r="662">
      <c r="B662" s="36"/>
    </row>
    <row r="663">
      <c r="B663" s="36"/>
    </row>
    <row r="664">
      <c r="B664" s="36"/>
    </row>
    <row r="665">
      <c r="B665" s="36"/>
    </row>
    <row r="666">
      <c r="B666" s="36"/>
    </row>
    <row r="667">
      <c r="B667" s="36"/>
    </row>
    <row r="668">
      <c r="B668" s="36"/>
    </row>
    <row r="669">
      <c r="B669" s="36"/>
    </row>
    <row r="670">
      <c r="B670" s="36"/>
    </row>
    <row r="671">
      <c r="B671" s="36"/>
    </row>
    <row r="672">
      <c r="B672" s="36"/>
    </row>
    <row r="673">
      <c r="B673" s="36"/>
    </row>
    <row r="674">
      <c r="B674" s="36"/>
    </row>
    <row r="675">
      <c r="B675" s="36"/>
    </row>
    <row r="676">
      <c r="B676" s="36"/>
    </row>
    <row r="677">
      <c r="B677" s="36"/>
    </row>
    <row r="678">
      <c r="B678" s="36"/>
    </row>
    <row r="679">
      <c r="B679" s="36"/>
    </row>
    <row r="680">
      <c r="B680" s="36"/>
    </row>
    <row r="681">
      <c r="B681" s="36"/>
    </row>
    <row r="682">
      <c r="B682" s="36"/>
    </row>
    <row r="683">
      <c r="B683" s="36"/>
    </row>
    <row r="684">
      <c r="B684" s="36"/>
    </row>
    <row r="685">
      <c r="B685" s="36"/>
    </row>
    <row r="686">
      <c r="B686" s="36"/>
    </row>
    <row r="687">
      <c r="B687" s="36"/>
    </row>
    <row r="688">
      <c r="B688" s="36"/>
    </row>
    <row r="689">
      <c r="B689" s="36"/>
    </row>
    <row r="690">
      <c r="B690" s="36"/>
    </row>
    <row r="691">
      <c r="B691" s="36"/>
    </row>
    <row r="692">
      <c r="B692" s="36"/>
    </row>
    <row r="693">
      <c r="B693" s="36"/>
    </row>
    <row r="694">
      <c r="B694" s="36"/>
    </row>
    <row r="695">
      <c r="B695" s="36"/>
    </row>
    <row r="696">
      <c r="B696" s="36"/>
    </row>
    <row r="697">
      <c r="B697" s="36"/>
    </row>
    <row r="698">
      <c r="B698" s="36"/>
    </row>
    <row r="699">
      <c r="B699" s="36"/>
    </row>
    <row r="700">
      <c r="B700" s="36"/>
    </row>
    <row r="701">
      <c r="B701" s="36"/>
    </row>
    <row r="702">
      <c r="B702" s="36"/>
    </row>
    <row r="703">
      <c r="B703" s="36"/>
    </row>
    <row r="704">
      <c r="B704" s="36"/>
    </row>
    <row r="705">
      <c r="B705" s="36"/>
    </row>
    <row r="706">
      <c r="B706" s="36"/>
    </row>
    <row r="707">
      <c r="B707" s="36"/>
    </row>
    <row r="708">
      <c r="B708" s="36"/>
    </row>
    <row r="709">
      <c r="B709" s="36"/>
    </row>
    <row r="710">
      <c r="B710" s="36"/>
    </row>
    <row r="711">
      <c r="B711" s="36"/>
    </row>
    <row r="712">
      <c r="B712" s="36"/>
    </row>
    <row r="713">
      <c r="B713" s="36"/>
    </row>
    <row r="714">
      <c r="B714" s="36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  <row r="728">
      <c r="B728" s="36"/>
    </row>
    <row r="729">
      <c r="B729" s="36"/>
    </row>
    <row r="730">
      <c r="B730" s="36"/>
    </row>
    <row r="731">
      <c r="B731" s="36"/>
    </row>
    <row r="732">
      <c r="B732" s="36"/>
    </row>
    <row r="733">
      <c r="B733" s="36"/>
    </row>
    <row r="734">
      <c r="B734" s="36"/>
    </row>
    <row r="735">
      <c r="B735" s="36"/>
    </row>
    <row r="736">
      <c r="B736" s="36"/>
    </row>
    <row r="737">
      <c r="B737" s="36"/>
    </row>
    <row r="738">
      <c r="B738" s="36"/>
    </row>
    <row r="739">
      <c r="B739" s="36"/>
    </row>
    <row r="740">
      <c r="B740" s="36"/>
    </row>
    <row r="741">
      <c r="B741" s="36"/>
    </row>
    <row r="742">
      <c r="B742" s="36"/>
    </row>
    <row r="743">
      <c r="B743" s="36"/>
    </row>
    <row r="744">
      <c r="B744" s="36"/>
    </row>
    <row r="745">
      <c r="B745" s="36"/>
    </row>
    <row r="746">
      <c r="B746" s="36"/>
    </row>
    <row r="747">
      <c r="B747" s="36"/>
    </row>
    <row r="748">
      <c r="B748" s="36"/>
    </row>
    <row r="749">
      <c r="B749" s="36"/>
    </row>
    <row r="750">
      <c r="B750" s="36"/>
    </row>
    <row r="751">
      <c r="B751" s="36"/>
    </row>
    <row r="752">
      <c r="B752" s="36"/>
    </row>
    <row r="753">
      <c r="B753" s="36"/>
    </row>
    <row r="754">
      <c r="B754" s="36"/>
    </row>
    <row r="755">
      <c r="B755" s="36"/>
    </row>
    <row r="756">
      <c r="B756" s="36"/>
    </row>
    <row r="757">
      <c r="B757" s="36"/>
    </row>
    <row r="758">
      <c r="B758" s="36"/>
    </row>
    <row r="759">
      <c r="B759" s="36"/>
    </row>
    <row r="760">
      <c r="B760" s="36"/>
    </row>
    <row r="761">
      <c r="B761" s="36"/>
    </row>
    <row r="762">
      <c r="B762" s="36"/>
    </row>
    <row r="763">
      <c r="B763" s="36"/>
    </row>
    <row r="764">
      <c r="B764" s="36"/>
    </row>
    <row r="765">
      <c r="B765" s="36"/>
    </row>
    <row r="766">
      <c r="B766" s="36"/>
    </row>
    <row r="767">
      <c r="B767" s="36"/>
    </row>
    <row r="768">
      <c r="B768" s="36"/>
    </row>
    <row r="769">
      <c r="B769" s="36"/>
    </row>
    <row r="770">
      <c r="B770" s="36"/>
    </row>
    <row r="771">
      <c r="B771" s="36"/>
    </row>
    <row r="772">
      <c r="B772" s="36"/>
    </row>
    <row r="773">
      <c r="B773" s="36"/>
    </row>
    <row r="774">
      <c r="B774" s="36"/>
    </row>
    <row r="775">
      <c r="B775" s="36"/>
    </row>
    <row r="776">
      <c r="B776" s="36"/>
    </row>
    <row r="777">
      <c r="B777" s="36"/>
    </row>
    <row r="778">
      <c r="B778" s="36"/>
    </row>
    <row r="779">
      <c r="B779" s="36"/>
    </row>
    <row r="780">
      <c r="B780" s="36"/>
    </row>
    <row r="781">
      <c r="B781" s="36"/>
    </row>
    <row r="782">
      <c r="B782" s="36"/>
    </row>
    <row r="783">
      <c r="B783" s="36"/>
    </row>
    <row r="784">
      <c r="B784" s="36"/>
    </row>
    <row r="785">
      <c r="B785" s="36"/>
    </row>
    <row r="786">
      <c r="B786" s="36"/>
    </row>
    <row r="787">
      <c r="B787" s="36"/>
    </row>
    <row r="788">
      <c r="B788" s="36"/>
    </row>
    <row r="789">
      <c r="B789" s="36"/>
    </row>
    <row r="790">
      <c r="B790" s="36"/>
    </row>
    <row r="791">
      <c r="B791" s="36"/>
    </row>
    <row r="792">
      <c r="B792" s="36"/>
    </row>
    <row r="793">
      <c r="B793" s="36"/>
    </row>
    <row r="794">
      <c r="B794" s="36"/>
    </row>
    <row r="795">
      <c r="B795" s="36"/>
    </row>
    <row r="796">
      <c r="B796" s="36"/>
    </row>
    <row r="797">
      <c r="B797" s="36"/>
    </row>
    <row r="798">
      <c r="B798" s="36"/>
    </row>
    <row r="799">
      <c r="B799" s="36"/>
    </row>
    <row r="800">
      <c r="B800" s="36"/>
    </row>
    <row r="801">
      <c r="B801" s="36"/>
    </row>
    <row r="802">
      <c r="B802" s="36"/>
    </row>
    <row r="803">
      <c r="B803" s="36"/>
    </row>
    <row r="804">
      <c r="B804" s="36"/>
    </row>
    <row r="805">
      <c r="B805" s="36"/>
    </row>
    <row r="806">
      <c r="B806" s="36"/>
    </row>
    <row r="807">
      <c r="B807" s="36"/>
    </row>
    <row r="808">
      <c r="B808" s="36"/>
    </row>
    <row r="809">
      <c r="B809" s="36"/>
    </row>
    <row r="810">
      <c r="B810" s="36"/>
    </row>
    <row r="811">
      <c r="B811" s="36"/>
    </row>
    <row r="812">
      <c r="B812" s="36"/>
    </row>
    <row r="813">
      <c r="B813" s="36"/>
    </row>
    <row r="814">
      <c r="B814" s="36"/>
    </row>
    <row r="815">
      <c r="B815" s="36"/>
    </row>
    <row r="816">
      <c r="B816" s="36"/>
    </row>
    <row r="817">
      <c r="B817" s="36"/>
    </row>
    <row r="818">
      <c r="B818" s="36"/>
    </row>
    <row r="819">
      <c r="B819" s="36"/>
    </row>
    <row r="820">
      <c r="B820" s="36"/>
    </row>
    <row r="821">
      <c r="B821" s="36"/>
    </row>
    <row r="822">
      <c r="B822" s="36"/>
    </row>
    <row r="823">
      <c r="B823" s="36"/>
    </row>
    <row r="824">
      <c r="B824" s="36"/>
    </row>
    <row r="825">
      <c r="B825" s="36"/>
    </row>
    <row r="826">
      <c r="B826" s="36"/>
    </row>
    <row r="827">
      <c r="B827" s="36"/>
    </row>
    <row r="828">
      <c r="B828" s="36"/>
    </row>
    <row r="829">
      <c r="B829" s="36"/>
    </row>
    <row r="830">
      <c r="B830" s="36"/>
    </row>
    <row r="831">
      <c r="B831" s="36"/>
    </row>
    <row r="832">
      <c r="B832" s="36"/>
    </row>
    <row r="833">
      <c r="B833" s="36"/>
    </row>
    <row r="834">
      <c r="B834" s="36"/>
    </row>
    <row r="835">
      <c r="B835" s="36"/>
    </row>
    <row r="836">
      <c r="B836" s="36"/>
    </row>
    <row r="837">
      <c r="B837" s="36"/>
    </row>
    <row r="838">
      <c r="B838" s="36"/>
    </row>
    <row r="839">
      <c r="B839" s="36"/>
    </row>
    <row r="840">
      <c r="B840" s="36"/>
    </row>
    <row r="841">
      <c r="B841" s="36"/>
    </row>
    <row r="842">
      <c r="B842" s="36"/>
    </row>
    <row r="843">
      <c r="B843" s="36"/>
    </row>
    <row r="844">
      <c r="B844" s="36"/>
    </row>
    <row r="845">
      <c r="B845" s="36"/>
    </row>
    <row r="846">
      <c r="B846" s="36"/>
    </row>
    <row r="847">
      <c r="B847" s="36"/>
    </row>
    <row r="848">
      <c r="B848" s="36"/>
    </row>
    <row r="849">
      <c r="B849" s="36"/>
    </row>
    <row r="850">
      <c r="B850" s="36"/>
    </row>
    <row r="851">
      <c r="B851" s="36"/>
    </row>
    <row r="852">
      <c r="B852" s="36"/>
    </row>
    <row r="853">
      <c r="B853" s="36"/>
    </row>
    <row r="854">
      <c r="B854" s="36"/>
    </row>
    <row r="855">
      <c r="B855" s="36"/>
    </row>
    <row r="856">
      <c r="B856" s="36"/>
    </row>
    <row r="857">
      <c r="B857" s="36"/>
    </row>
    <row r="858">
      <c r="B858" s="36"/>
    </row>
    <row r="859">
      <c r="B859" s="36"/>
    </row>
    <row r="860">
      <c r="B860" s="36"/>
    </row>
    <row r="861">
      <c r="B861" s="36"/>
    </row>
    <row r="862">
      <c r="B862" s="36"/>
    </row>
    <row r="863">
      <c r="B863" s="36"/>
    </row>
    <row r="864">
      <c r="B864" s="36"/>
    </row>
    <row r="865">
      <c r="B865" s="36"/>
    </row>
    <row r="866">
      <c r="B866" s="36"/>
    </row>
    <row r="867">
      <c r="B867" s="36"/>
    </row>
    <row r="868">
      <c r="B868" s="36"/>
    </row>
    <row r="869">
      <c r="B869" s="36"/>
    </row>
    <row r="870">
      <c r="B870" s="36"/>
    </row>
    <row r="871">
      <c r="B871" s="36"/>
    </row>
    <row r="872">
      <c r="B872" s="36"/>
    </row>
    <row r="873">
      <c r="B873" s="36"/>
    </row>
    <row r="874">
      <c r="B874" s="36"/>
    </row>
    <row r="875">
      <c r="B875" s="36"/>
    </row>
    <row r="876">
      <c r="B876" s="36"/>
    </row>
    <row r="877">
      <c r="B877" s="36"/>
    </row>
    <row r="878">
      <c r="B878" s="36"/>
    </row>
    <row r="879">
      <c r="B879" s="36"/>
    </row>
    <row r="880">
      <c r="B880" s="36"/>
    </row>
    <row r="881">
      <c r="B881" s="36"/>
    </row>
    <row r="882">
      <c r="B882" s="36"/>
    </row>
    <row r="883">
      <c r="B883" s="36"/>
    </row>
    <row r="884">
      <c r="B884" s="36"/>
    </row>
    <row r="885">
      <c r="B885" s="36"/>
    </row>
    <row r="886">
      <c r="B886" s="36"/>
    </row>
    <row r="887">
      <c r="B887" s="36"/>
    </row>
    <row r="888">
      <c r="B888" s="36"/>
    </row>
    <row r="889">
      <c r="B889" s="36"/>
    </row>
    <row r="890">
      <c r="B890" s="36"/>
    </row>
    <row r="891">
      <c r="B891" s="36"/>
    </row>
    <row r="892">
      <c r="B892" s="36"/>
    </row>
    <row r="893">
      <c r="B893" s="36"/>
    </row>
    <row r="894">
      <c r="B894" s="36"/>
    </row>
    <row r="895">
      <c r="B895" s="36"/>
    </row>
    <row r="896">
      <c r="B896" s="36"/>
    </row>
    <row r="897">
      <c r="B897" s="36"/>
    </row>
    <row r="898">
      <c r="B898" s="36"/>
    </row>
    <row r="899">
      <c r="B899" s="36"/>
    </row>
    <row r="900">
      <c r="B900" s="36"/>
    </row>
    <row r="901">
      <c r="B901" s="36"/>
    </row>
    <row r="902">
      <c r="B902" s="36"/>
    </row>
    <row r="903">
      <c r="B903" s="36"/>
    </row>
    <row r="904">
      <c r="B904" s="36"/>
    </row>
    <row r="905">
      <c r="B905" s="36"/>
    </row>
    <row r="906">
      <c r="B906" s="36"/>
    </row>
    <row r="907">
      <c r="B907" s="36"/>
    </row>
    <row r="908">
      <c r="B908" s="36"/>
    </row>
    <row r="909">
      <c r="B909" s="36"/>
    </row>
    <row r="910">
      <c r="B910" s="36"/>
    </row>
    <row r="911">
      <c r="B911" s="36"/>
    </row>
    <row r="912">
      <c r="B912" s="36"/>
    </row>
    <row r="913">
      <c r="B913" s="36"/>
    </row>
    <row r="914">
      <c r="B914" s="36"/>
    </row>
    <row r="915">
      <c r="B915" s="36"/>
    </row>
    <row r="916">
      <c r="B916" s="36"/>
    </row>
    <row r="917">
      <c r="B917" s="36"/>
    </row>
    <row r="918">
      <c r="B918" s="36"/>
    </row>
    <row r="919">
      <c r="B919" s="36"/>
    </row>
    <row r="920">
      <c r="B920" s="36"/>
    </row>
    <row r="921">
      <c r="B921" s="36"/>
    </row>
    <row r="922">
      <c r="B922" s="36"/>
    </row>
    <row r="923">
      <c r="B923" s="36"/>
    </row>
    <row r="924">
      <c r="B924" s="36"/>
    </row>
    <row r="925">
      <c r="B925" s="36"/>
    </row>
    <row r="926">
      <c r="B926" s="36"/>
    </row>
    <row r="927">
      <c r="B927" s="36"/>
    </row>
    <row r="928">
      <c r="B928" s="36"/>
    </row>
    <row r="929">
      <c r="B929" s="36"/>
    </row>
    <row r="930">
      <c r="B930" s="36"/>
    </row>
    <row r="931">
      <c r="B931" s="36"/>
    </row>
    <row r="932">
      <c r="B932" s="36"/>
    </row>
    <row r="933">
      <c r="B933" s="36"/>
    </row>
    <row r="934">
      <c r="B934" s="36"/>
    </row>
    <row r="935">
      <c r="B935" s="36"/>
    </row>
    <row r="936">
      <c r="B936" s="36"/>
    </row>
    <row r="937">
      <c r="B937" s="36"/>
    </row>
    <row r="938">
      <c r="B938" s="36"/>
    </row>
    <row r="939">
      <c r="B939" s="36"/>
    </row>
    <row r="940">
      <c r="B940" s="36"/>
    </row>
    <row r="941">
      <c r="B941" s="36"/>
    </row>
    <row r="942">
      <c r="B942" s="36"/>
    </row>
    <row r="943">
      <c r="B943" s="36"/>
    </row>
    <row r="944">
      <c r="B944" s="36"/>
    </row>
    <row r="945">
      <c r="B945" s="36"/>
    </row>
    <row r="946">
      <c r="B946" s="36"/>
    </row>
    <row r="947">
      <c r="B947" s="36"/>
    </row>
    <row r="948">
      <c r="B948" s="36"/>
    </row>
    <row r="949">
      <c r="B949" s="36"/>
    </row>
    <row r="950">
      <c r="B950" s="36"/>
    </row>
    <row r="951">
      <c r="B951" s="36"/>
    </row>
    <row r="952">
      <c r="B952" s="36"/>
    </row>
    <row r="953">
      <c r="B953" s="36"/>
    </row>
    <row r="954">
      <c r="B954" s="36"/>
    </row>
    <row r="955">
      <c r="B955" s="36"/>
    </row>
    <row r="956">
      <c r="B956" s="36"/>
    </row>
    <row r="957">
      <c r="B957" s="36"/>
    </row>
    <row r="958">
      <c r="B958" s="36"/>
    </row>
    <row r="959">
      <c r="B959" s="36"/>
    </row>
    <row r="960">
      <c r="B960" s="36"/>
    </row>
    <row r="961">
      <c r="B961" s="36"/>
    </row>
    <row r="962">
      <c r="B962" s="36"/>
    </row>
    <row r="963">
      <c r="B963" s="36"/>
    </row>
    <row r="964">
      <c r="B964" s="36"/>
    </row>
    <row r="965">
      <c r="B965" s="36"/>
    </row>
    <row r="966">
      <c r="B966" s="36"/>
    </row>
    <row r="967">
      <c r="B967" s="36"/>
    </row>
    <row r="968">
      <c r="B968" s="36"/>
    </row>
    <row r="969">
      <c r="B969" s="36"/>
    </row>
    <row r="970">
      <c r="B970" s="36"/>
    </row>
    <row r="971">
      <c r="B971" s="36"/>
    </row>
    <row r="972">
      <c r="B972" s="36"/>
    </row>
    <row r="973">
      <c r="B973" s="36"/>
    </row>
    <row r="974">
      <c r="B974" s="36"/>
    </row>
    <row r="975">
      <c r="B975" s="36"/>
    </row>
    <row r="976">
      <c r="B976" s="36"/>
    </row>
    <row r="977">
      <c r="B977" s="36"/>
    </row>
    <row r="978">
      <c r="B978" s="36"/>
    </row>
    <row r="979">
      <c r="B979" s="36"/>
    </row>
    <row r="980">
      <c r="B980" s="36"/>
    </row>
    <row r="981">
      <c r="B981" s="36"/>
    </row>
    <row r="982">
      <c r="B982" s="36"/>
    </row>
    <row r="983">
      <c r="B983" s="36"/>
    </row>
    <row r="984">
      <c r="B984" s="36"/>
    </row>
    <row r="985">
      <c r="B985" s="36"/>
    </row>
    <row r="986">
      <c r="B986" s="36"/>
    </row>
    <row r="987">
      <c r="B987" s="36"/>
    </row>
    <row r="988">
      <c r="B988" s="36"/>
    </row>
    <row r="989">
      <c r="B989" s="36"/>
    </row>
    <row r="990">
      <c r="B990" s="36"/>
    </row>
    <row r="991">
      <c r="B991" s="36"/>
    </row>
    <row r="992">
      <c r="B992" s="36"/>
    </row>
    <row r="993">
      <c r="B993" s="36"/>
    </row>
    <row r="994">
      <c r="B994" s="36"/>
    </row>
    <row r="995">
      <c r="B995" s="36"/>
    </row>
    <row r="996">
      <c r="B996" s="36"/>
    </row>
    <row r="997">
      <c r="B997" s="36"/>
    </row>
    <row r="998">
      <c r="B998" s="36"/>
    </row>
    <row r="999">
      <c r="B999" s="36"/>
    </row>
    <row r="1000">
      <c r="B1000" s="36"/>
    </row>
  </sheetData>
  <mergeCells count="2">
    <mergeCell ref="C2:F2"/>
    <mergeCell ref="C3:F3"/>
  </mergeCells>
  <drawing r:id="rId1"/>
</worksheet>
</file>