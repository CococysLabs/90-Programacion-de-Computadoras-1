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 — 100 pts" sheetId="1" r:id="rId4"/>
  </sheets>
  <definedNames/>
  <calcPr/>
  <extLst>
    <ext uri="GoogleSheetsCustomDataVersion2">
      <go:sheetsCustomData xmlns:go="http://customooxmlschemas.google.com/" r:id="rId5" roundtripDataChecksum="aLV4aOvR1utm96Q3+0pn6qnRZ2rQ0H7XwyBuJ/NexJM="/>
    </ext>
  </extLst>
</workbook>
</file>

<file path=xl/sharedStrings.xml><?xml version="1.0" encoding="utf-8"?>
<sst xmlns="http://schemas.openxmlformats.org/spreadsheetml/2006/main" count="122" uniqueCount="82">
  <si>
    <t>Universidad de San Carlos de Guatemala  |  Facultad de Ingeniería  |  Escuela de Ciencias y Sistemas</t>
  </si>
  <si>
    <t>Programación de Computadoras 1  —  Segundo Semestre 2026</t>
  </si>
  <si>
    <t>Hoja de Calificación — Proyecto 1  —  Patitas Felices APP F1  |  Base de Datos y Formularios VBA</t>
  </si>
  <si>
    <t>Nombre: _____________________________________________</t>
  </si>
  <si>
    <t>Carnet: _____________________________________________</t>
  </si>
  <si>
    <t>Fecha de calificación: ______ / ______ / ______</t>
  </si>
  <si>
    <t>Requisitos para optar a la calificación</t>
  </si>
  <si>
    <t>Tema</t>
  </si>
  <si>
    <t>Descripción</t>
  </si>
  <si>
    <t>Cumple (Sí/No)</t>
  </si>
  <si>
    <t>Tecnología establecida</t>
  </si>
  <si>
    <t>SQL Server para la base de datos, VBA para formularios.</t>
  </si>
  <si>
    <t>Entrega del ZIP</t>
  </si>
  <si>
    <t>Archivo [PDC1]VET_P1_#CARNET.zip entregado en UEDI dentro del plazo.</t>
  </si>
  <si>
    <t>Documentación obligatoria</t>
  </si>
  <si>
    <t>Manual técnico y manual de usuario incluidos en la entrega.</t>
  </si>
  <si>
    <t>Funcionalidad mínima</t>
  </si>
  <si>
    <t>Script SQL ejecuta sin errores. Formularios VBA insertan datos correctamente.</t>
  </si>
  <si>
    <t>Rúbrica de Calificación</t>
  </si>
  <si>
    <t>No.</t>
  </si>
  <si>
    <t>Criterio de Evaluación</t>
  </si>
  <si>
    <t>Pts</t>
  </si>
  <si>
    <t>Satisfactorio (100% – 61%)</t>
  </si>
  <si>
    <t>Necesita Mejorar (60% – 0%)</t>
  </si>
  <si>
    <t>Puntos
Obtenidos</t>
  </si>
  <si>
    <t xml:space="preserve">  1. Base de Datos en SQL Server   —   30 pts</t>
  </si>
  <si>
    <t>1.1</t>
  </si>
  <si>
    <t>Diseño E-R completo y correcto</t>
  </si>
  <si>
    <t>El diagrama incluye las 5 tablas (ESPECIE, DUEÑO, MASCOTA, VETERINARIO, CONSULTA), las relaciones son correctas y se identifican PKs y FKs.</t>
  </si>
  <si>
    <t>10 – 6.1</t>
  </si>
  <si>
    <t>El diagrama está incompleto, faltan tablas o relaciones, las claves no están definidas, o no se entrega.</t>
  </si>
  <si>
    <t>6.0 – 0</t>
  </si>
  <si>
    <t>Rango del punteo</t>
  </si>
  <si>
    <t>1.2</t>
  </si>
  <si>
    <t>Script T-SQL funcional y sin errores</t>
  </si>
  <si>
    <t>El script .sql crea la base de datos y todas las tablas sin errores. Ejecuta correctamente en SQL Server e incluye los constraints del modelo (PK, FK, tipos de dato).</t>
  </si>
  <si>
    <t>El script presenta errores de sintaxis, no ejecuta, faltan tablas o constraints, o no se entrega el archivo .sql.</t>
  </si>
  <si>
    <t>1.3</t>
  </si>
  <si>
    <t>Tipos de datos correctos en SQL Server</t>
  </si>
  <si>
    <t>Todas las columnas usan los tipos indicados (BIGINT, VARCHAR, DECIMAL(5,2), DATE, CHAR). Valores por defecto y constraints correctamente aplicados según el enunciado.</t>
  </si>
  <si>
    <t>Uno o más campos usan tipos incorrectos, se omiten constraints relevantes, o los tipos no corresponden a lo indicado en el enunciado.</t>
  </si>
  <si>
    <t>Sub-Total  1</t>
  </si>
  <si>
    <t xml:space="preserve">  2. Formularios en Excel/VBA   —   40 pts</t>
  </si>
  <si>
    <t>2.1</t>
  </si>
  <si>
    <t>Formulario de DUEÑO funcional</t>
  </si>
  <si>
    <t>El formulario VBA incluye todos los campos de la tabla DUEÑO (id_dueno, dpi, nombre, apellido, telefono, correo, direccion). El botón Guardar inserta correctamente en SQL Server mediante conexión ADO sin errores en ejecución.</t>
  </si>
  <si>
    <t>20 – 12.2</t>
  </si>
  <si>
    <t>Faltan campos obligatorios de la tabla DUEÑO, el botón Guardar no inserta datos, la conexión ADO falla en ejecución, o no se entrega el formulario.</t>
  </si>
  <si>
    <t>12.0 – 0</t>
  </si>
  <si>
    <t>2.2</t>
  </si>
  <si>
    <t>Formulario de MASCOTA funcional</t>
  </si>
  <si>
    <t>El formulario VBA incluye todos los campos de MASCOTA (nombre, raza, fecha_nacimiento, peso_kg, genero) más la selección de dueño existente (id_dueno) y especie (id_especie). El botón Guardar inserta correctamente en SQL Server validando que el dueño exista.</t>
  </si>
  <si>
    <t>Faltan campos, no se valida que el dueño exista antes de insertar, la conexión falla, o no se entrega el formulario.</t>
  </si>
  <si>
    <t>Sub-Total  2</t>
  </si>
  <si>
    <t xml:space="preserve">  3. Manual Técnico   —   10 pts</t>
  </si>
  <si>
    <t>3.1</t>
  </si>
  <si>
    <t>Estructura completa del manual técnico</t>
  </si>
  <si>
    <t>El manual incluye introducción, descripción de todas las tablas con sus columnas y tipos de datos, diagrama E-R legible y conclusiones. Es claro, ordenado y profesional.</t>
  </si>
  <si>
    <t>Faltan secciones requeridas, el diagrama E-R está ausente o ilegible, el documento está incompleto o desorganizado, o no se entrega.</t>
  </si>
  <si>
    <t>Sub-Total  3</t>
  </si>
  <si>
    <t xml:space="preserve">  4. Manual de Usuario   —   10 pts</t>
  </si>
  <si>
    <t>4.1</t>
  </si>
  <si>
    <t>Documento comprensible para el usuario final</t>
  </si>
  <si>
    <t>Explica el uso de los formularios con capturas de pantalla propias y pasos detallados. Comprensible para un usuario no técnico que nunca ha usado el sistema.</t>
  </si>
  <si>
    <t>El manual está incompleto, no incluye capturas de pantalla propias, los pasos son confusos o insuficientes, o no se entrega.</t>
  </si>
  <si>
    <t>Sub-Total  4</t>
  </si>
  <si>
    <t xml:space="preserve">  5. Preguntas de Evaluación   —   10 pts</t>
  </si>
  <si>
    <t>5.1</t>
  </si>
  <si>
    <t>Pregunta 1</t>
  </si>
  <si>
    <t>Responde correctamente y demuestra comprensión del modelo de datos o del código VBA implementado.</t>
  </si>
  <si>
    <t>5 – 2.6</t>
  </si>
  <si>
    <t>La respuesta es incorrecta, incompleta o el estudiante no puede sustentar su solución.</t>
  </si>
  <si>
    <t>2.5 – 0</t>
  </si>
  <si>
    <t>5.2</t>
  </si>
  <si>
    <t>Pregunta 2</t>
  </si>
  <si>
    <t>Sub-Total  5</t>
  </si>
  <si>
    <t>TOTAL</t>
  </si>
  <si>
    <t>* La calificación incluye aspectos técnicos y habilidades blandas demostradas durante el desarrollo.</t>
  </si>
  <si>
    <t>* Las copias detectadas tendrán una nota de cero puntos y serán reportadas a la Escuela de Ciencias y Sistemas.</t>
  </si>
  <si>
    <t>Estoy conforme con la nota obtenida.</t>
  </si>
  <si>
    <t>_______________________________
Firma Alumno</t>
  </si>
  <si>
    <t>_______________________________
Firma Auxiliar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</si>
</sst>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Calibri"/>
    </font>
    <font/>
    <font>
      <i/>
      <sz val="9.0"/>
      <color rgb="FF039BE5"/>
      <name val="Calibri"/>
    </font>
    <font>
      <b/>
      <sz val="12.0"/>
      <color rgb="FFFFFFFF"/>
      <name val="Calibri"/>
    </font>
    <font>
      <sz val="9.0"/>
      <color rgb="FF212121"/>
      <name val="Calibri"/>
    </font>
    <font>
      <b/>
      <sz val="9.0"/>
      <color rgb="FFFFFFFF"/>
      <name val="Calibri"/>
    </font>
    <font>
      <b/>
      <sz val="9.0"/>
      <color rgb="FF212121"/>
      <name val="Calibri"/>
    </font>
    <font>
      <b/>
      <sz val="11.0"/>
      <color rgb="FFFFFFFF"/>
      <name val="Calibri"/>
    </font>
    <font>
      <sz val="9.0"/>
      <color rgb="FFFFFFFF"/>
      <name val="Calibri"/>
    </font>
    <font>
      <b/>
      <sz val="10.0"/>
      <color rgb="FF212121"/>
      <name val="Calibri"/>
    </font>
    <font>
      <sz val="11.0"/>
      <color theme="1"/>
      <name val="Calibri"/>
    </font>
    <font>
      <i/>
      <sz val="8.0"/>
      <color rgb="FF666666"/>
      <name val="Calibri"/>
    </font>
    <font>
      <b/>
      <sz val="13.0"/>
      <color rgb="FFFFFFFF"/>
      <name val="Calibri"/>
    </font>
    <font>
      <b/>
      <sz val="8.0"/>
      <color rgb="FFCC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39BE5"/>
        <bgColor rgb="FF039BE5"/>
      </patternFill>
    </fill>
    <fill>
      <patternFill patternType="solid">
        <fgColor rgb="FFE3F2FD"/>
        <bgColor rgb="FFE3F2FD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8E1"/>
        <bgColor rgb="FFFFF8E1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ill="1" applyFont="1">
      <alignment horizontal="right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righ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2" fontId="11" numFmtId="0" xfId="0" applyBorder="1" applyFill="1" applyFont="1"/>
    <xf borderId="4" fillId="2" fontId="13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3"/>
    </row>
    <row r="3" ht="24.0" customHeight="1">
      <c r="A3" s="5" t="s">
        <v>2</v>
      </c>
      <c r="B3" s="2"/>
      <c r="C3" s="2"/>
      <c r="D3" s="2"/>
      <c r="E3" s="2"/>
      <c r="F3" s="2"/>
      <c r="G3" s="2"/>
      <c r="H3" s="3"/>
    </row>
    <row r="4" ht="14.25" customHeight="1"/>
    <row r="5" ht="18.0" customHeight="1">
      <c r="A5" s="6" t="s">
        <v>3</v>
      </c>
      <c r="B5" s="2"/>
      <c r="C5" s="2"/>
      <c r="D5" s="3"/>
      <c r="E5" s="6" t="s">
        <v>4</v>
      </c>
      <c r="F5" s="2"/>
      <c r="G5" s="2"/>
      <c r="H5" s="3"/>
    </row>
    <row r="6" ht="18.0" customHeight="1">
      <c r="A6" s="6" t="s">
        <v>5</v>
      </c>
      <c r="B6" s="2"/>
      <c r="C6" s="2"/>
      <c r="D6" s="2"/>
      <c r="E6" s="2"/>
      <c r="F6" s="2"/>
      <c r="G6" s="2"/>
      <c r="H6" s="3"/>
    </row>
    <row r="7" ht="14.25" customHeight="1"/>
    <row r="8" ht="19.5" customHeight="1">
      <c r="A8" s="7" t="s">
        <v>6</v>
      </c>
      <c r="B8" s="2"/>
      <c r="C8" s="2"/>
      <c r="D8" s="2"/>
      <c r="E8" s="2"/>
      <c r="F8" s="2"/>
      <c r="G8" s="2"/>
      <c r="H8" s="3"/>
    </row>
    <row r="9" ht="18.0" customHeight="1">
      <c r="A9" s="8" t="s">
        <v>7</v>
      </c>
      <c r="B9" s="3"/>
      <c r="C9" s="8" t="s">
        <v>8</v>
      </c>
      <c r="D9" s="2"/>
      <c r="E9" s="2"/>
      <c r="F9" s="2"/>
      <c r="G9" s="3"/>
      <c r="H9" s="9" t="s">
        <v>9</v>
      </c>
    </row>
    <row r="10" ht="27.75" customHeight="1">
      <c r="A10" s="10" t="s">
        <v>10</v>
      </c>
      <c r="B10" s="3"/>
      <c r="C10" s="6" t="s">
        <v>11</v>
      </c>
      <c r="D10" s="2"/>
      <c r="E10" s="2"/>
      <c r="F10" s="2"/>
      <c r="G10" s="3"/>
      <c r="H10" s="11"/>
    </row>
    <row r="11" ht="27.75" customHeight="1">
      <c r="A11" s="10" t="s">
        <v>12</v>
      </c>
      <c r="B11" s="3"/>
      <c r="C11" s="6" t="s">
        <v>13</v>
      </c>
      <c r="D11" s="2"/>
      <c r="E11" s="2"/>
      <c r="F11" s="2"/>
      <c r="G11" s="3"/>
      <c r="H11" s="11"/>
    </row>
    <row r="12" ht="27.75" customHeight="1">
      <c r="A12" s="10" t="s">
        <v>14</v>
      </c>
      <c r="B12" s="3"/>
      <c r="C12" s="6" t="s">
        <v>15</v>
      </c>
      <c r="D12" s="2"/>
      <c r="E12" s="2"/>
      <c r="F12" s="2"/>
      <c r="G12" s="3"/>
      <c r="H12" s="11"/>
    </row>
    <row r="13" ht="27.75" customHeight="1">
      <c r="A13" s="10" t="s">
        <v>16</v>
      </c>
      <c r="B13" s="3"/>
      <c r="C13" s="6" t="s">
        <v>17</v>
      </c>
      <c r="D13" s="2"/>
      <c r="E13" s="2"/>
      <c r="F13" s="2"/>
      <c r="G13" s="3"/>
      <c r="H13" s="11"/>
    </row>
    <row r="14" ht="14.25" customHeight="1"/>
    <row r="15" ht="19.5" customHeight="1">
      <c r="A15" s="12" t="s">
        <v>18</v>
      </c>
      <c r="B15" s="2"/>
      <c r="C15" s="2"/>
      <c r="D15" s="2"/>
      <c r="E15" s="2"/>
      <c r="F15" s="2"/>
      <c r="G15" s="2"/>
      <c r="H15" s="3"/>
    </row>
    <row r="16" ht="27.75" customHeight="1">
      <c r="A16" s="9" t="s">
        <v>19</v>
      </c>
      <c r="B16" s="9" t="s">
        <v>20</v>
      </c>
      <c r="C16" s="9" t="s">
        <v>21</v>
      </c>
      <c r="D16" s="13" t="s">
        <v>22</v>
      </c>
      <c r="E16" s="3"/>
      <c r="F16" s="14" t="s">
        <v>23</v>
      </c>
      <c r="G16" s="3"/>
      <c r="H16" s="9" t="s">
        <v>24</v>
      </c>
    </row>
    <row r="17" ht="21.75" customHeight="1">
      <c r="A17" s="15" t="s">
        <v>25</v>
      </c>
      <c r="B17" s="2"/>
      <c r="C17" s="2"/>
      <c r="D17" s="2"/>
      <c r="E17" s="2"/>
      <c r="F17" s="2"/>
      <c r="G17" s="3"/>
      <c r="H17" s="16"/>
    </row>
    <row r="18" ht="60.0" customHeight="1">
      <c r="A18" s="17" t="s">
        <v>26</v>
      </c>
      <c r="B18" s="18" t="s">
        <v>27</v>
      </c>
      <c r="C18" s="19">
        <v>10.0</v>
      </c>
      <c r="D18" s="20" t="s">
        <v>28</v>
      </c>
      <c r="E18" s="21" t="s">
        <v>29</v>
      </c>
      <c r="F18" s="22" t="s">
        <v>30</v>
      </c>
      <c r="G18" s="23" t="s">
        <v>31</v>
      </c>
      <c r="H18" s="24"/>
    </row>
    <row r="19" ht="13.5" customHeight="1">
      <c r="A19" s="25"/>
      <c r="B19" s="26" t="s">
        <v>32</v>
      </c>
      <c r="C19" s="25"/>
      <c r="D19" s="20"/>
      <c r="E19" s="21" t="s">
        <v>29</v>
      </c>
      <c r="F19" s="22"/>
      <c r="G19" s="23" t="s">
        <v>31</v>
      </c>
      <c r="H19" s="25"/>
    </row>
    <row r="20" ht="60.0" customHeight="1">
      <c r="A20" s="27" t="s">
        <v>33</v>
      </c>
      <c r="B20" s="28" t="s">
        <v>34</v>
      </c>
      <c r="C20" s="29">
        <v>10.0</v>
      </c>
      <c r="D20" s="20" t="s">
        <v>35</v>
      </c>
      <c r="E20" s="21" t="s">
        <v>29</v>
      </c>
      <c r="F20" s="22" t="s">
        <v>36</v>
      </c>
      <c r="G20" s="23" t="s">
        <v>31</v>
      </c>
      <c r="H20" s="24"/>
    </row>
    <row r="21" ht="13.5" customHeight="1">
      <c r="A21" s="30"/>
      <c r="B21" s="31" t="s">
        <v>32</v>
      </c>
      <c r="C21" s="30"/>
      <c r="D21" s="20"/>
      <c r="E21" s="21" t="s">
        <v>29</v>
      </c>
      <c r="F21" s="22"/>
      <c r="G21" s="23" t="s">
        <v>31</v>
      </c>
      <c r="H21" s="25"/>
    </row>
    <row r="22" ht="60.0" customHeight="1">
      <c r="A22" s="17" t="s">
        <v>37</v>
      </c>
      <c r="B22" s="18" t="s">
        <v>38</v>
      </c>
      <c r="C22" s="19">
        <v>10.0</v>
      </c>
      <c r="D22" s="20" t="s">
        <v>39</v>
      </c>
      <c r="E22" s="21" t="s">
        <v>29</v>
      </c>
      <c r="F22" s="22" t="s">
        <v>40</v>
      </c>
      <c r="G22" s="23" t="s">
        <v>31</v>
      </c>
      <c r="H22" s="24"/>
    </row>
    <row r="23" ht="13.5" customHeight="1">
      <c r="A23" s="25"/>
      <c r="B23" s="26" t="s">
        <v>32</v>
      </c>
      <c r="C23" s="25"/>
      <c r="D23" s="20"/>
      <c r="E23" s="21" t="s">
        <v>29</v>
      </c>
      <c r="F23" s="22"/>
      <c r="G23" s="23" t="s">
        <v>31</v>
      </c>
      <c r="H23" s="25"/>
    </row>
    <row r="24" ht="18.0" customHeight="1">
      <c r="A24" s="32" t="s">
        <v>41</v>
      </c>
      <c r="B24" s="3"/>
      <c r="C24" s="33">
        <f>SUM(C18,C20,C22)</f>
        <v>30</v>
      </c>
      <c r="D24" s="34"/>
      <c r="E24" s="34"/>
      <c r="F24" s="34"/>
      <c r="G24" s="34"/>
      <c r="H24" s="33">
        <f>SUM(H18,H20,H22)</f>
        <v>0</v>
      </c>
    </row>
    <row r="25" ht="21.75" customHeight="1">
      <c r="A25" s="15" t="s">
        <v>42</v>
      </c>
      <c r="B25" s="2"/>
      <c r="C25" s="2"/>
      <c r="D25" s="2"/>
      <c r="E25" s="2"/>
      <c r="F25" s="2"/>
      <c r="G25" s="3"/>
      <c r="H25" s="16"/>
    </row>
    <row r="26" ht="60.0" customHeight="1">
      <c r="A26" s="17" t="s">
        <v>43</v>
      </c>
      <c r="B26" s="18" t="s">
        <v>44</v>
      </c>
      <c r="C26" s="19">
        <v>20.0</v>
      </c>
      <c r="D26" s="20" t="s">
        <v>45</v>
      </c>
      <c r="E26" s="21" t="s">
        <v>46</v>
      </c>
      <c r="F26" s="22" t="s">
        <v>47</v>
      </c>
      <c r="G26" s="23" t="s">
        <v>48</v>
      </c>
      <c r="H26" s="24"/>
    </row>
    <row r="27" ht="13.5" customHeight="1">
      <c r="A27" s="25"/>
      <c r="B27" s="26" t="s">
        <v>32</v>
      </c>
      <c r="C27" s="25"/>
      <c r="D27" s="20"/>
      <c r="E27" s="21" t="s">
        <v>46</v>
      </c>
      <c r="F27" s="22"/>
      <c r="G27" s="23" t="s">
        <v>48</v>
      </c>
      <c r="H27" s="25"/>
    </row>
    <row r="28" ht="60.0" customHeight="1">
      <c r="A28" s="27" t="s">
        <v>49</v>
      </c>
      <c r="B28" s="28" t="s">
        <v>50</v>
      </c>
      <c r="C28" s="29">
        <v>20.0</v>
      </c>
      <c r="D28" s="20" t="s">
        <v>51</v>
      </c>
      <c r="E28" s="21" t="s">
        <v>46</v>
      </c>
      <c r="F28" s="22" t="s">
        <v>52</v>
      </c>
      <c r="G28" s="23" t="s">
        <v>48</v>
      </c>
      <c r="H28" s="24"/>
    </row>
    <row r="29" ht="13.5" customHeight="1">
      <c r="A29" s="30"/>
      <c r="B29" s="31" t="s">
        <v>32</v>
      </c>
      <c r="C29" s="30"/>
      <c r="D29" s="20"/>
      <c r="E29" s="21" t="s">
        <v>46</v>
      </c>
      <c r="F29" s="22"/>
      <c r="G29" s="23" t="s">
        <v>48</v>
      </c>
      <c r="H29" s="25"/>
    </row>
    <row r="30" ht="18.0" customHeight="1">
      <c r="A30" s="32" t="s">
        <v>53</v>
      </c>
      <c r="B30" s="3"/>
      <c r="C30" s="33">
        <f>SUM(C26,C28)</f>
        <v>40</v>
      </c>
      <c r="D30" s="34"/>
      <c r="E30" s="34"/>
      <c r="F30" s="34"/>
      <c r="G30" s="34"/>
      <c r="H30" s="33">
        <f>SUM(H26,H28)</f>
        <v>0</v>
      </c>
    </row>
    <row r="31" ht="21.75" customHeight="1">
      <c r="A31" s="15" t="s">
        <v>54</v>
      </c>
      <c r="B31" s="2"/>
      <c r="C31" s="2"/>
      <c r="D31" s="2"/>
      <c r="E31" s="2"/>
      <c r="F31" s="2"/>
      <c r="G31" s="3"/>
      <c r="H31" s="16"/>
    </row>
    <row r="32" ht="60.0" customHeight="1">
      <c r="A32" s="17" t="s">
        <v>55</v>
      </c>
      <c r="B32" s="18" t="s">
        <v>56</v>
      </c>
      <c r="C32" s="19">
        <v>10.0</v>
      </c>
      <c r="D32" s="20" t="s">
        <v>57</v>
      </c>
      <c r="E32" s="21" t="s">
        <v>29</v>
      </c>
      <c r="F32" s="22" t="s">
        <v>58</v>
      </c>
      <c r="G32" s="23" t="s">
        <v>31</v>
      </c>
      <c r="H32" s="24"/>
    </row>
    <row r="33" ht="13.5" customHeight="1">
      <c r="A33" s="25"/>
      <c r="B33" s="26" t="s">
        <v>32</v>
      </c>
      <c r="C33" s="25"/>
      <c r="D33" s="20"/>
      <c r="E33" s="21" t="s">
        <v>29</v>
      </c>
      <c r="F33" s="22"/>
      <c r="G33" s="23" t="s">
        <v>31</v>
      </c>
      <c r="H33" s="25"/>
    </row>
    <row r="34" ht="18.0" customHeight="1">
      <c r="A34" s="32" t="s">
        <v>59</v>
      </c>
      <c r="B34" s="3"/>
      <c r="C34" s="33">
        <f>SUM(C32)</f>
        <v>10</v>
      </c>
      <c r="D34" s="34"/>
      <c r="E34" s="34"/>
      <c r="F34" s="34"/>
      <c r="G34" s="34"/>
      <c r="H34" s="33">
        <f>SUM(H32)</f>
        <v>0</v>
      </c>
    </row>
    <row r="35" ht="21.75" customHeight="1">
      <c r="A35" s="15" t="s">
        <v>60</v>
      </c>
      <c r="B35" s="2"/>
      <c r="C35" s="2"/>
      <c r="D35" s="2"/>
      <c r="E35" s="2"/>
      <c r="F35" s="2"/>
      <c r="G35" s="3"/>
      <c r="H35" s="16"/>
    </row>
    <row r="36" ht="60.0" customHeight="1">
      <c r="A36" s="17" t="s">
        <v>61</v>
      </c>
      <c r="B36" s="18" t="s">
        <v>62</v>
      </c>
      <c r="C36" s="19">
        <v>10.0</v>
      </c>
      <c r="D36" s="20" t="s">
        <v>63</v>
      </c>
      <c r="E36" s="21" t="s">
        <v>29</v>
      </c>
      <c r="F36" s="22" t="s">
        <v>64</v>
      </c>
      <c r="G36" s="23" t="s">
        <v>31</v>
      </c>
      <c r="H36" s="24"/>
    </row>
    <row r="37" ht="13.5" customHeight="1">
      <c r="A37" s="25"/>
      <c r="B37" s="26" t="s">
        <v>32</v>
      </c>
      <c r="C37" s="25"/>
      <c r="D37" s="20"/>
      <c r="E37" s="21" t="s">
        <v>29</v>
      </c>
      <c r="F37" s="22"/>
      <c r="G37" s="23" t="s">
        <v>31</v>
      </c>
      <c r="H37" s="25"/>
    </row>
    <row r="38" ht="18.0" customHeight="1">
      <c r="A38" s="32" t="s">
        <v>65</v>
      </c>
      <c r="B38" s="3"/>
      <c r="C38" s="33">
        <f>SUM(C36)</f>
        <v>10</v>
      </c>
      <c r="D38" s="34"/>
      <c r="E38" s="34"/>
      <c r="F38" s="34"/>
      <c r="G38" s="34"/>
      <c r="H38" s="33">
        <f>SUM(H36)</f>
        <v>0</v>
      </c>
    </row>
    <row r="39" ht="21.75" customHeight="1">
      <c r="A39" s="15" t="s">
        <v>66</v>
      </c>
      <c r="B39" s="2"/>
      <c r="C39" s="2"/>
      <c r="D39" s="2"/>
      <c r="E39" s="2"/>
      <c r="F39" s="2"/>
      <c r="G39" s="3"/>
      <c r="H39" s="16"/>
    </row>
    <row r="40" ht="60.0" customHeight="1">
      <c r="A40" s="17" t="s">
        <v>67</v>
      </c>
      <c r="B40" s="18" t="s">
        <v>68</v>
      </c>
      <c r="C40" s="19">
        <v>5.0</v>
      </c>
      <c r="D40" s="20" t="s">
        <v>69</v>
      </c>
      <c r="E40" s="21" t="s">
        <v>70</v>
      </c>
      <c r="F40" s="22" t="s">
        <v>71</v>
      </c>
      <c r="G40" s="23" t="s">
        <v>72</v>
      </c>
      <c r="H40" s="35"/>
    </row>
    <row r="41" ht="13.5" customHeight="1">
      <c r="A41" s="25"/>
      <c r="B41" s="26" t="s">
        <v>32</v>
      </c>
      <c r="C41" s="25"/>
      <c r="D41" s="20"/>
      <c r="E41" s="21" t="s">
        <v>70</v>
      </c>
      <c r="F41" s="22"/>
      <c r="G41" s="23" t="s">
        <v>72</v>
      </c>
      <c r="H41" s="25"/>
    </row>
    <row r="42" ht="60.0" customHeight="1">
      <c r="A42" s="27" t="s">
        <v>73</v>
      </c>
      <c r="B42" s="28" t="s">
        <v>74</v>
      </c>
      <c r="C42" s="29">
        <v>5.0</v>
      </c>
      <c r="D42" s="20" t="s">
        <v>69</v>
      </c>
      <c r="E42" s="21" t="s">
        <v>70</v>
      </c>
      <c r="F42" s="22" t="s">
        <v>71</v>
      </c>
      <c r="G42" s="23" t="s">
        <v>72</v>
      </c>
      <c r="H42" s="24"/>
    </row>
    <row r="43" ht="13.5" customHeight="1">
      <c r="A43" s="30"/>
      <c r="B43" s="31" t="s">
        <v>32</v>
      </c>
      <c r="C43" s="30"/>
      <c r="D43" s="20"/>
      <c r="E43" s="21" t="s">
        <v>70</v>
      </c>
      <c r="F43" s="22"/>
      <c r="G43" s="23" t="s">
        <v>72</v>
      </c>
      <c r="H43" s="25"/>
    </row>
    <row r="44" ht="18.0" customHeight="1">
      <c r="A44" s="32" t="s">
        <v>75</v>
      </c>
      <c r="B44" s="3"/>
      <c r="C44" s="33">
        <f>SUM(C40,C42)</f>
        <v>10</v>
      </c>
      <c r="D44" s="34"/>
      <c r="E44" s="34"/>
      <c r="F44" s="34"/>
      <c r="G44" s="34"/>
      <c r="H44" s="33">
        <f>SUM(H40,H42)</f>
        <v>0</v>
      </c>
    </row>
    <row r="45" ht="14.25" customHeight="1"/>
    <row r="46" ht="25.5" customHeight="1">
      <c r="A46" s="36" t="s">
        <v>76</v>
      </c>
      <c r="B46" s="3"/>
      <c r="C46" s="37">
        <f>SUM(C18,C20,C22,C26,C28,C32,C36,C40,C42)</f>
        <v>100</v>
      </c>
      <c r="D46" s="38"/>
      <c r="E46" s="38"/>
      <c r="F46" s="38"/>
      <c r="G46" s="38"/>
      <c r="H46" s="39">
        <f>SUM(H18,H20,H22,H26,H28,H32,H36,H40,H42)</f>
        <v>0</v>
      </c>
    </row>
    <row r="47" ht="14.25" customHeight="1"/>
    <row r="48" ht="13.5" customHeight="1">
      <c r="A48" s="40" t="s">
        <v>77</v>
      </c>
      <c r="B48" s="2"/>
      <c r="C48" s="2"/>
      <c r="D48" s="2"/>
      <c r="E48" s="2"/>
      <c r="F48" s="2"/>
      <c r="G48" s="2"/>
      <c r="H48" s="3"/>
    </row>
    <row r="49" ht="13.5" customHeight="1">
      <c r="A49" s="41" t="s">
        <v>78</v>
      </c>
      <c r="B49" s="2"/>
      <c r="C49" s="2"/>
      <c r="D49" s="2"/>
      <c r="E49" s="2"/>
      <c r="F49" s="2"/>
      <c r="G49" s="2"/>
      <c r="H49" s="3"/>
    </row>
    <row r="50" ht="14.25" customHeight="1"/>
    <row r="51" ht="14.25" customHeight="1"/>
    <row r="52" ht="13.5" customHeight="1">
      <c r="A52" s="6" t="s">
        <v>79</v>
      </c>
      <c r="B52" s="2"/>
      <c r="C52" s="2"/>
      <c r="D52" s="3"/>
    </row>
    <row r="53" ht="14.25" customHeight="1"/>
    <row r="54" ht="30.0" customHeight="1">
      <c r="A54" s="42" t="s">
        <v>80</v>
      </c>
      <c r="B54" s="2"/>
      <c r="C54" s="3"/>
      <c r="E54" s="42" t="s">
        <v>81</v>
      </c>
      <c r="F54" s="2"/>
      <c r="G54" s="3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2026-05-10T21:13:31Z</dcterms:created>
  <dc:creator>openpyxl</dc:creator>
</cp:coreProperties>
</file>